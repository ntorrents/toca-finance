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orma 2025" sheetId="1" r:id="rId5"/>
    <sheet state="visible" name="Extracto" sheetId="2" r:id="rId6"/>
    <sheet state="visible" name="Resumen" sheetId="3" r:id="rId7"/>
  </sheets>
  <definedNames>
    <definedName hidden="1" localSheetId="2" name="_xlnm._FilterDatabase">Resumen!$B$2:$C$43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<sst xmlns="http://schemas.openxmlformats.org/spreadsheetml/2006/main" count="1095" uniqueCount="385">
  <si>
    <t>F. Operativa</t>
  </si>
  <si>
    <t>Concepto</t>
  </si>
  <si>
    <t>Importe</t>
  </si>
  <si>
    <t>CONCEPTO</t>
  </si>
  <si>
    <t>CATEGORIAS</t>
  </si>
  <si>
    <t>TOTAL</t>
  </si>
  <si>
    <t>COMPRA TARJ. 5402XXXXXXXX4012 AJUNTAMENT DE TERRASSA-TERRASSA</t>
  </si>
  <si>
    <t>Impostos</t>
  </si>
  <si>
    <t>TRANSFERENCIA A Finques Forcadell</t>
  </si>
  <si>
    <t>Certificat</t>
  </si>
  <si>
    <t>TRANSFERENCIA A LAMPISTERIA ABRAHAM SL</t>
  </si>
  <si>
    <t>Reforma Baixant</t>
  </si>
  <si>
    <t>PAGO BIZUM NELSON ARAUJO MARTINEZ</t>
  </si>
  <si>
    <t>Ajuda Nelson (Mano de obra)</t>
  </si>
  <si>
    <t>COMPRA TARJ. 5402XXXXXXXX4012 LA ELECTRICA DE TERRASSA-TERRASSA</t>
  </si>
  <si>
    <t>Enchufes</t>
  </si>
  <si>
    <t>Caldera</t>
  </si>
  <si>
    <t>COMPRA TARJ. 5402XXXXXXXX4012 LEROY MERLIN SANT CUGAT-SAN CUGAR DEL</t>
  </si>
  <si>
    <t>Decoracion</t>
  </si>
  <si>
    <t>COMPRA TARJ. 5402XXXXXXXX3014 LEROY MERLIN SABADELL-SABADELL</t>
  </si>
  <si>
    <t>Calefaccio</t>
  </si>
  <si>
    <t>COMPRA TARJ. 5402XXXXXXXX4012 IKEA SABADELL HFB-SABADELL</t>
  </si>
  <si>
    <t>Mudança</t>
  </si>
  <si>
    <t>COMPRA TARJ. 5402XXXXXXXX4012 GIL FAST SL-BARCELONA</t>
  </si>
  <si>
    <t>Reforma WC</t>
  </si>
  <si>
    <t>COMPRA TARJ. 5402XXXXXXXX4012 OBRAMAT TERRASA-TERRASSA</t>
  </si>
  <si>
    <t>Pintura</t>
  </si>
  <si>
    <t>Tasació Casa</t>
  </si>
  <si>
    <t>COMPRA TARJ. 5402XXXXXXXX4012 TIENDAS MONTO TERRASA.-TERRASSA</t>
  </si>
  <si>
    <t>COMPRA TARJ. 5402XXXXXXXX4012 18.11 PAYPAL *TINSATASACI-913727500</t>
  </si>
  <si>
    <t>COMPRA TARJ. 5402XXXXXXXX3014 TIENDAS MONTO TERRASA.-TERRASSA</t>
  </si>
  <si>
    <t>AMAZON Enchufes</t>
  </si>
  <si>
    <t>Certificat Banc Sabadell</t>
  </si>
  <si>
    <t>Semana</t>
  </si>
  <si>
    <t>Fecha de operación</t>
  </si>
  <si>
    <t>Fecha valor</t>
  </si>
  <si>
    <t>Categoria</t>
  </si>
  <si>
    <t>SUPER.BON PREU S19</t>
  </si>
  <si>
    <t>supermercado</t>
  </si>
  <si>
    <t>BLUMAS RESTAUR</t>
  </si>
  <si>
    <t>deloitte</t>
  </si>
  <si>
    <t>EL PRAT DE LLO</t>
  </si>
  <si>
    <t>CAFETERIA</t>
  </si>
  <si>
    <t>comida</t>
  </si>
  <si>
    <t>Ahorro</t>
  </si>
  <si>
    <t>ahorro</t>
  </si>
  <si>
    <t>TELEFONICA734013 100031486702</t>
  </si>
  <si>
    <t>internet</t>
  </si>
  <si>
    <t>PETROVALLES JAUME</t>
  </si>
  <si>
    <t>gasolina</t>
  </si>
  <si>
    <t>SUSHI HAND</t>
  </si>
  <si>
    <t>CAL FRUITOS SA</t>
  </si>
  <si>
    <t>FORN L'AVI JOR</t>
  </si>
  <si>
    <t>BIZUM:Casa finde</t>
  </si>
  <si>
    <t>vacaciones</t>
  </si>
  <si>
    <t>BIZUM:Marketing</t>
  </si>
  <si>
    <t>c3linic</t>
  </si>
  <si>
    <t>EL REFUGI</t>
  </si>
  <si>
    <t>AS TU TRIES</t>
  </si>
  <si>
    <t>LA PLACETA</t>
  </si>
  <si>
    <t>MACXIPA SANT PERE</t>
  </si>
  <si>
    <t>SPSALONES</t>
  </si>
  <si>
    <t>peluqueria</t>
  </si>
  <si>
    <t>AVV PLA DEL BONAIR</t>
  </si>
  <si>
    <t>validar</t>
  </si>
  <si>
    <t>GRAS FLORISTES</t>
  </si>
  <si>
    <t>regalo</t>
  </si>
  <si>
    <t>FARMACIA DE VEGA</t>
  </si>
  <si>
    <t>farmacia</t>
  </si>
  <si>
    <t>VERDECORA SANT</t>
  </si>
  <si>
    <t>compras casa</t>
  </si>
  <si>
    <t>PARKING VAPOR</t>
  </si>
  <si>
    <t>parking</t>
  </si>
  <si>
    <t>DNI/PASAPORTE TARR</t>
  </si>
  <si>
    <t>gestiones</t>
  </si>
  <si>
    <t>LA DOLCETA</t>
  </si>
  <si>
    <t>CASA AMETLLER ALIM</t>
  </si>
  <si>
    <t>PANET ESTACIO NORD</t>
  </si>
  <si>
    <t>ABACUS TERRASSA</t>
  </si>
  <si>
    <t>GAMESIDE TERRASSA</t>
  </si>
  <si>
    <t>TRESO CONTROLE AUTOMAT</t>
  </si>
  <si>
    <t>multa</t>
  </si>
  <si>
    <t>LYDIA GONZALEZ DIEZ</t>
  </si>
  <si>
    <t>PIZZERIACARLOSTERRAS</t>
  </si>
  <si>
    <t>GAMESIDE</t>
  </si>
  <si>
    <t>Marc Garrofe Urrutia</t>
  </si>
  <si>
    <t>bizum</t>
  </si>
  <si>
    <t>ESGLESIA EVANGELIC</t>
  </si>
  <si>
    <t>donatiu</t>
  </si>
  <si>
    <t>BON AREA T326</t>
  </si>
  <si>
    <t>GRAN BAZAR</t>
  </si>
  <si>
    <t>SUSHIKO</t>
  </si>
  <si>
    <t>KIABI BARICENT</t>
  </si>
  <si>
    <t>ropa</t>
  </si>
  <si>
    <t>AO TAKE AWAY</t>
  </si>
  <si>
    <t>SANTA GLORIA</t>
  </si>
  <si>
    <t>CENTRE DIGITAL</t>
  </si>
  <si>
    <t>DAVID CHUECA DOMINGUEZ</t>
  </si>
  <si>
    <t>KFC URGELL</t>
  </si>
  <si>
    <t>CHURRERIA ALVA</t>
  </si>
  <si>
    <t>FGC MAE</t>
  </si>
  <si>
    <t>tren</t>
  </si>
  <si>
    <t>Daniel Joan Dionis Giordano</t>
  </si>
  <si>
    <t>ANATOLIA RESTAURAN</t>
  </si>
  <si>
    <t>AVICOLA SERLLUIS (</t>
  </si>
  <si>
    <t>ARBITRADE BARCELONA</t>
  </si>
  <si>
    <t>Temu.com</t>
  </si>
  <si>
    <t>TEIKIT.ES</t>
  </si>
  <si>
    <t>COMPRA TARJ. 5402XXXXXXXX4012 PAYPAL *KIABI-0665967756</t>
  </si>
  <si>
    <t>COMPRA TARJ. 5402XXXXXXXX4012 REPSOL WAYLET-MADRID</t>
  </si>
  <si>
    <t>PLENERGY US369A TE</t>
  </si>
  <si>
    <t>Q8 106293 LE ROEULX</t>
  </si>
  <si>
    <t>BIZUM:Mueble</t>
  </si>
  <si>
    <t>LIDL TERRASSA PARC</t>
  </si>
  <si>
    <t>Loida Cana Fernandez</t>
  </si>
  <si>
    <t>TIENDANIMAL TERRAS</t>
  </si>
  <si>
    <t>neo</t>
  </si>
  <si>
    <t>CROISSANT S DE</t>
  </si>
  <si>
    <t>MERCADONA AVDA JAU</t>
  </si>
  <si>
    <t>MAX HOGAR</t>
  </si>
  <si>
    <t>ELS GELATS DE</t>
  </si>
  <si>
    <t>NADIR SUPERMERCADO</t>
  </si>
  <si>
    <t>BIZUM:sin concepto</t>
  </si>
  <si>
    <t>DIA 31178</t>
  </si>
  <si>
    <t>BAR TONI</t>
  </si>
  <si>
    <t>BAZAR ASIA TERRASS</t>
  </si>
  <si>
    <t>AREAS A7 MORNA.V</t>
  </si>
  <si>
    <t>ACE HOTEL</t>
  </si>
  <si>
    <t>SHELL DAC</t>
  </si>
  <si>
    <t>IBERNEST.ES</t>
  </si>
  <si>
    <t>ESSO MORNAS VI</t>
  </si>
  <si>
    <t>AUTOROUTES ASF</t>
  </si>
  <si>
    <t>HOREBO</t>
  </si>
  <si>
    <t>SELECTA</t>
  </si>
  <si>
    <t>CARREFOUR MARCHE</t>
  </si>
  <si>
    <t>AUTOGRILL</t>
  </si>
  <si>
    <t>APRR NFC</t>
  </si>
  <si>
    <t>MAXICOFFEE GC</t>
  </si>
  <si>
    <t>BP Capellen Shop</t>
  </si>
  <si>
    <t>BROCANTON</t>
  </si>
  <si>
    <t>Medi Market Marche En</t>
  </si>
  <si>
    <t>CLOUDFLARE</t>
  </si>
  <si>
    <t>ocio</t>
  </si>
  <si>
    <t>CUOTA MARZO  PLAN UNI SEGUR</t>
  </si>
  <si>
    <t>seguro banco</t>
  </si>
  <si>
    <t>PRESTAMOS ADEUDO CUOTA N.8078461289 31/03/26</t>
  </si>
  <si>
    <t>cuota coche</t>
  </si>
  <si>
    <t>STATION AVIA</t>
  </si>
  <si>
    <t>ENIVL9361LAMAXE</t>
  </si>
  <si>
    <t>APRR</t>
  </si>
  <si>
    <t>E.LECLERC</t>
  </si>
  <si>
    <t>INTERMARCHE PROGECOM</t>
  </si>
  <si>
    <t>HID HOTEL</t>
  </si>
  <si>
    <t>DTT TECH.TRANSF., S.L.U.</t>
  </si>
  <si>
    <t>nómina</t>
  </si>
  <si>
    <t>PRESTAMO  2103 7170 0500041553</t>
  </si>
  <si>
    <t>hipoteca</t>
  </si>
  <si>
    <t>FUNDACIO PRIVADA GOEL</t>
  </si>
  <si>
    <t>CARMEN MARTI MORA</t>
  </si>
  <si>
    <t>DELOITTE TECHNOLOGY   TRANSFOR</t>
  </si>
  <si>
    <t>GAMESIDEMAX.ES</t>
  </si>
  <si>
    <t>GELATIDINO PARC VA</t>
  </si>
  <si>
    <t>VIENA PARC VALLES</t>
  </si>
  <si>
    <t>UNICAJA TRAMITACIONES SA</t>
  </si>
  <si>
    <t>Ingreso Extra</t>
  </si>
  <si>
    <t>Matricula Jan</t>
  </si>
  <si>
    <t>guarderia</t>
  </si>
  <si>
    <t>COMPRA TARJ. 5402XXXXXXXX4012 WWW.AMAZON-LUXEMBOURG</t>
  </si>
  <si>
    <t>amazon</t>
  </si>
  <si>
    <t>CASA BEIKING</t>
  </si>
  <si>
    <t>EL CORTE INGLES</t>
  </si>
  <si>
    <t>PIJAMAS</t>
  </si>
  <si>
    <t>TRANSFERENCIA A PERSI ALUMINI MOLINA</t>
  </si>
  <si>
    <t>reforma casa</t>
  </si>
  <si>
    <t>EL CISTELL</t>
  </si>
  <si>
    <t>ZARA</t>
  </si>
  <si>
    <t>ELS COLORS DEL XAM</t>
  </si>
  <si>
    <t>FORN DE CABRIANES</t>
  </si>
  <si>
    <t>WYNWOOD DIAGONAL</t>
  </si>
  <si>
    <t>COMPRA TARJ. 5402XXXXXXXX4012 BLINKAY - TERRASSA-BADALONA</t>
  </si>
  <si>
    <t>ROSSTISSERIES ANDR</t>
  </si>
  <si>
    <t>365 T157</t>
  </si>
  <si>
    <t>CALCATS GUZMAN</t>
  </si>
  <si>
    <t>ropa jan</t>
  </si>
  <si>
    <t>LA SIRENA TERRASSA</t>
  </si>
  <si>
    <t>FRANCKFURT LAZARO</t>
  </si>
  <si>
    <t>EXPTERRAS3</t>
  </si>
  <si>
    <t>NESPRESSO TERRASSA</t>
  </si>
  <si>
    <t>nespresso</t>
  </si>
  <si>
    <t>ADEUDO RECIBO Terrassa Cicle de l Aigua, EPEL S.A.</t>
  </si>
  <si>
    <t>aigua</t>
  </si>
  <si>
    <t>TRANSFERENCIA DEVOLUCIONES TRIBUTARIAS, AGENCIA ESTATA</t>
  </si>
  <si>
    <t>ingresso hacienda</t>
  </si>
  <si>
    <t>COMPRA TARJ. 5402XXXXXXXX4012 PAYPAL *GLOVO-35314369001</t>
  </si>
  <si>
    <t>CONSUM TERRASSA</t>
  </si>
  <si>
    <t>4 UNCES</t>
  </si>
  <si>
    <t>GC RE OCTO590280 YBSTWWN</t>
  </si>
  <si>
    <t>REINTEGRO CAIXER AUTOMATIC 5402XXXXXXXX4012 18.03</t>
  </si>
  <si>
    <t>KIWOKO TERRASSA PL</t>
  </si>
  <si>
    <t>IKEA SABADELL HFB</t>
  </si>
  <si>
    <t>IKEA SABADELL FOOD</t>
  </si>
  <si>
    <t>PA VALERO TERRASA</t>
  </si>
  <si>
    <t>DEVOLUCION TAR.5402XXXXXXXX4012 14.03 BLINKAY - TERRASSA-BADALONA</t>
  </si>
  <si>
    <t>AP. PL. DR. ROBERT</t>
  </si>
  <si>
    <t>BIZUM:Ropa</t>
  </si>
  <si>
    <t>TRANSFERENCIA COMERCIALIZADORA REGULADA, GAS POWER, S.</t>
  </si>
  <si>
    <t>gas</t>
  </si>
  <si>
    <t>MEGA ASIA</t>
  </si>
  <si>
    <t>CENT VETERINARI LA</t>
  </si>
  <si>
    <t>ADEUDO RECIBO SERVEIS DE L'AIGUA, SA</t>
  </si>
  <si>
    <t>MERCADONA TERRASSA</t>
  </si>
  <si>
    <t>CARREFOUR BOROA TA</t>
  </si>
  <si>
    <t>COMPRA TARJ. 5402XXXXXXXX4012 PAYPAL *ITUNESAPPST AP-35314369001</t>
  </si>
  <si>
    <t>COMPRA TARJ. 5402XXXXXXXX3014 TOMATE IBERICO-TERRASSA</t>
  </si>
  <si>
    <t>COMPRA TARJ. 5402XXXXXXXX3014 TERRASA CENTRO-TERRASSA</t>
  </si>
  <si>
    <t>COMPRA TARJ. 5402XXXXXXXX4012 CURSOR, AI POWERED IDE-NEW YORK</t>
  </si>
  <si>
    <t>cursor</t>
  </si>
  <si>
    <t>BIZUM:Zurito</t>
  </si>
  <si>
    <t>COMPRA TARJ. 5402XXXXXXXX3014 CAFETERIA-VENT-IDOS- DE</t>
  </si>
  <si>
    <t>DECATHLON, S.A</t>
  </si>
  <si>
    <t>RET FISCAL INCENTIVO CAMPAñA H</t>
  </si>
  <si>
    <t>beneficio banco</t>
  </si>
  <si>
    <t>INCENTIVO CAMPAñA HABERES</t>
  </si>
  <si>
    <t>DEVOLUCION TAR.5402XXXXXXXX4012 05.03 BLINKAY - TERRASSA-BADALONA</t>
  </si>
  <si>
    <t>COMPRA TARJ. 5402XXXXXXXX4012 BONPREU ESCLAT ONLINE-Les Masies V</t>
  </si>
  <si>
    <t>COMPRA TARJ. 5402XXXXXXXX3014 CENTRE DENTAL LES ESCOLES-TERRASSA</t>
  </si>
  <si>
    <t>dentista</t>
  </si>
  <si>
    <t>ADEUDO RECIBO F HOSP.VALL D'HEBRON-INSTITUT RECERCA</t>
  </si>
  <si>
    <t>COMPRA TARJ. 5402XXXXXXXX3014 PETROVALLES JAUME I-TERRASSA</t>
  </si>
  <si>
    <t>DEVOLUCION TAR.5402XXXXXXXX4012 03.03 CURSOR, AI POWERED IDE-NEW YORK</t>
  </si>
  <si>
    <t>OASIS FRUTERIA</t>
  </si>
  <si>
    <t>COMPRA TARJ. 5402XXXXXXXX4012 PAYPAL *PMNTSBVEATS-35314369001</t>
  </si>
  <si>
    <t>PRESTAMO 2103 7170 0500041553</t>
  </si>
  <si>
    <t>CUOTA FEBRERO PLAN UNI SEGUR</t>
  </si>
  <si>
    <t>JOAN MARC DE JUAN CHIMENO</t>
  </si>
  <si>
    <t>TACISA DISTRIB</t>
  </si>
  <si>
    <t>DEVOLUCION TAR.5402XXXXXXXX4012 27.02 BLINKAY - TERRASSA-BADALONA</t>
  </si>
  <si>
    <t>COMPRA TARJ. 5402XXXXXXXX3014 SUPER MARKT-VENT-IDOS- DE</t>
  </si>
  <si>
    <t>PRESTAMOS ADEUDO CUOTA N.8078461289 28/02/26</t>
  </si>
  <si>
    <t>TAXI LIC 7774</t>
  </si>
  <si>
    <t>COMPRA TARJ. 5402XXXXXXXX3014 EGARA VET-TERRASSA</t>
  </si>
  <si>
    <t>COMPRA TARJ. 5402XXXXXXXX3014 AMB MIM-TERRASSA</t>
  </si>
  <si>
    <t>COMPRA TARJ. 5402XXXXXXXX3014 CHURRERIA ALVAREZ CASADO-VILLA ROMANA,</t>
  </si>
  <si>
    <t>TAXI</t>
  </si>
  <si>
    <t>COMPRA TARJ. 5402XXXXXXXX3014 MERCADONA AVDA. JAUME I-TERRASSA</t>
  </si>
  <si>
    <t>COMPRA TARJ. 5402XXXXXXXX3014 EXPRESSO IBERICO-TERRASSA</t>
  </si>
  <si>
    <t>ANUL COMPRA TARJ. 5402XXXXXXXX4012 PAYPAL *UBERPAYMENT-35314369001</t>
  </si>
  <si>
    <t>COMPRA TARJ. 5402XXXXXXXX4012 PAYPAL *UBERPAYMENT-35314369001</t>
  </si>
  <si>
    <t>URARTU AL FOC</t>
  </si>
  <si>
    <t>COMPRA TARJ. 5402XXXXXXXX3014 AGRARIA COMARCAL DEL VALL-LES FRANQUESE</t>
  </si>
  <si>
    <t>DANAE RUIZ ORTEGA</t>
  </si>
  <si>
    <t>DEVOLUCION TAR.5402XXXXXXXX4012 20.02 BLINKAY - TERRASSA-BADALONA</t>
  </si>
  <si>
    <t>COMPRA TARJ. 5402XXXXXXXX3014 AVICOLA SERLLUIS (J)-TERRASSA</t>
  </si>
  <si>
    <t>LOOT MACHINE</t>
  </si>
  <si>
    <t>SABADELL</t>
  </si>
  <si>
    <t>LEROY MERLIN SABAD</t>
  </si>
  <si>
    <t>COMPRA TARJ. 5402XXXXXXXX3014 PA VALERO-TERRASA-TERRASSA</t>
  </si>
  <si>
    <t>COMPRA TARJ. 5402XXXXXXXX4012 AMAZON-LUXEMBOURG</t>
  </si>
  <si>
    <t>COMPRA TARJ. 5402XXXXXXXX3014 T272 TERRASSA 6 TAKE AWAY-TERRASSA</t>
  </si>
  <si>
    <t>COMPRA TARJ. 5402XXXXXXXX3014 PANET ESTACIO NORD-TERRASSA</t>
  </si>
  <si>
    <t>TRASPASO 0045-00022365-30 3IBXJPDULHME2IU7D</t>
  </si>
  <si>
    <t>SUPERCOR EX.TERRAS</t>
  </si>
  <si>
    <t>BIZUM:Jan</t>
  </si>
  <si>
    <t>COMPRA TARJ. 5402XXXXXXXX4012 EL PRAT DE LLOBREGAT-VERT-PRAT LLOBREGA</t>
  </si>
  <si>
    <t>COMPRA TARJ. 5402XXXXXXXX3014 TACISA DISTRIBUCION SL-VALLES, AVING</t>
  </si>
  <si>
    <t>COMPRA TARJ. 5402XXXXXXXX4012 09.02 KIABI ESPAGNE-HEM</t>
  </si>
  <si>
    <t>COMPRA TARJ. 5402XXXXXXXX4012 FARMACIA M ANTONIA MASDEU-TERRASSA</t>
  </si>
  <si>
    <t>Facturas Luz Cami de Castellar</t>
  </si>
  <si>
    <t>luz</t>
  </si>
  <si>
    <t>COMPRA TARJ. 5402XXXXXXXX3014 SUPERMERCAT BON PREU S194-TERRASSA</t>
  </si>
  <si>
    <t>COMPRA TARJ. 5402XXXXXXXX3014 MOLDEA 2 SL-TERRASSA</t>
  </si>
  <si>
    <t>COMPRA TARJ. 5402XXXXXXXX4012 BLUMAS RESTAURANTE LOUNGE-EL PRAT DE LL</t>
  </si>
  <si>
    <t>COMPRA TARJ. 5402XXXXXXXX4012 WWW.AMAZON.ES-LUXEMBOURG</t>
  </si>
  <si>
    <t>COMPRA TARJ. 5402XXXXXXXX3014 T272 TERRASSA 6 ALIMENTAC-TERRASSA</t>
  </si>
  <si>
    <t>COMPRA TARJ. 5402XXXXXXXX3014 PANET ESTACIO NORD-VENT-I-DOS DE</t>
  </si>
  <si>
    <t>COMPRA TARJ. 5402XXXXXXXX3014 FARMACIA CAP NORD-TERRASSA</t>
  </si>
  <si>
    <t>COMPRA TARJ. 5402XXXXXXXX4012 CONSORCI SANITARI TERRASS-TERRASSA</t>
  </si>
  <si>
    <t>COMPRA TARJ. 5402XXXXXXXX4012 AB Servicios Selecta E-Madrid</t>
  </si>
  <si>
    <t>COMPRA TARJ. 5402XXXXXXXX3014 GARDEN CENTER ARGEMI-MATADEPERA</t>
  </si>
  <si>
    <t>COMPRA TARJ. 5402XXXXXXXX4012 PETROVALLES JAUME I-TERRASSA</t>
  </si>
  <si>
    <t>ABONO BIZUM DE JOAN J C</t>
  </si>
  <si>
    <t>ABONO BIZUM DE MARC G U</t>
  </si>
  <si>
    <t>ABONO BIZUM DE OSCAR F P</t>
  </si>
  <si>
    <t>PAGO BIZUM SAMUEL M M</t>
  </si>
  <si>
    <t>COMPRA TARJ. 5402XXXXXXXX3014 LA SIRENA TERRASSA 7-ABAT MARCET,</t>
  </si>
  <si>
    <t>COMPRA TARJ. 5402XXXXXXXX4012 E7-SANT CUGAT</t>
  </si>
  <si>
    <t>COMPRA TARJ. 5402XXXXXXXX4012 GRADINGCLUB-ABAT MARCET,</t>
  </si>
  <si>
    <t>REINTEGRO CAIXER AUTOMATIC 5402XXXXXXXX4012 06.02</t>
  </si>
  <si>
    <t>COMPRA TARJ. 5402XXXXXXXX4012 CREPS EN RUTA-TERRASSA</t>
  </si>
  <si>
    <t>COMPRA TARJ. 5402XXXXXXXX3014 TERRASSA FRANCESC MACIA-TERRASSA</t>
  </si>
  <si>
    <t>COMERCIALI555581 1227573132</t>
  </si>
  <si>
    <t>COMPRA TARJ. 5402XXXXXXXX4012 MERCADONA VIA SABADELL-SABADELL</t>
  </si>
  <si>
    <t>COMPRA TARJ. 5402XXXXXXXX4012 LEROY MERLIN SABADELL-SABADELL</t>
  </si>
  <si>
    <t>COMPRA TARJ. 5402XXXXXXXX4012 APARC DIAGONAL NUMANCIA-BARCELONA</t>
  </si>
  <si>
    <t>COMPRA TARJ. 5402XXXXXXXX4012 GOIKO CAN SEGALAR (B)-BARCELONA</t>
  </si>
  <si>
    <t>COMPRA TARJ. 5402XXXXXXXX4012 BSM AP FLOS I CALCAT-BARCELONA</t>
  </si>
  <si>
    <t>DEVOLUCION TAR.5402XXXXXXXX4012 02.02 BLINKAY - TERRASSA-BADALONA</t>
  </si>
  <si>
    <t>ABONO BIZUM DE ROSA M J</t>
  </si>
  <si>
    <t>COMPRA TARJ. 5402XXXXXXXX4012 ESGLESIA EVANGELICA UNIDA-TERRASSA</t>
  </si>
  <si>
    <t>COMPRA TARJ. 5402XXXXXXXX3014 XIN HUA-TERRASSA</t>
  </si>
  <si>
    <t>COMPRA TARJ. 5402XXXXXXXX4012 CENTRE DIGITAL UNIO-VENT-I-DOS DE</t>
  </si>
  <si>
    <t>COMPRA TARJ. 5402XXXXXXXX3014 TIGER TERRASSA-TERRASSA BARC</t>
  </si>
  <si>
    <t>ENVIO DE INSTANT MONEY</t>
  </si>
  <si>
    <t>COMPRA TARJ. 5402XXXXXXXX3014 SPSALONES-TERRASSA</t>
  </si>
  <si>
    <t>ABONO BIZUM DE LOIDA C F</t>
  </si>
  <si>
    <t>CUOTA ENERO PLAN UNI SEGUR</t>
  </si>
  <si>
    <t>NOMINA DE FUNDACIO PRIVADA GOEL</t>
  </si>
  <si>
    <t>REINTEGRO CAIXER AUTOMATIC 5402XXXXXXXX4012 30.01</t>
  </si>
  <si>
    <t>COMPRA TARJ. 5402XXXXXXXX3014 FARMACIA CONSELL-TERRASSA</t>
  </si>
  <si>
    <t>TRANSFERENCIA A Golden Hoteles Barcelona SL</t>
  </si>
  <si>
    <t>TRANSFERENCIA A Pere Gibert Parking</t>
  </si>
  <si>
    <t>parking coche</t>
  </si>
  <si>
    <t>PRESTAMOS ADEUDO CUOTA N.8078461289 31/01/26</t>
  </si>
  <si>
    <t>NOMINA DTT TECH.TRANSF., S.L.U.</t>
  </si>
  <si>
    <t>COMPRA TARJ. 5402XXXXXXXX4012 TAKASHI SL-VALENTI ALMIR</t>
  </si>
  <si>
    <t>DEVOLUCION TAR.5402XXXXXXXX4012 29.01 BLINKAY - TERRASSA-BADALONA</t>
  </si>
  <si>
    <t>COMPRA TARJ. 5402XXXXXXXX4012 GRANOLLERS BENZINERA SL-GRANOLLERS</t>
  </si>
  <si>
    <t>COMPRA TARJ. 5402XXXXXXXX4012 Amazon.es-LUXEMBOURG</t>
  </si>
  <si>
    <t>COMPRA TARJ. 5402XXXXXXXX4012 MACXIPA SANT PERE-TERRASSA</t>
  </si>
  <si>
    <t>COMPRA TARJ. 5402XXXXXXXX4012 SUPERMERCADO NADIR-TERRASSA</t>
  </si>
  <si>
    <t>COMPRA TARJ. 5402XXXXXXXX4012 PROYECTO VALKIRIA-TERRASSA</t>
  </si>
  <si>
    <t>TELEFONOS TELEFONICA DE ESPANA SAU FIJOxxxxxx490.ene</t>
  </si>
  <si>
    <t>DEVOLUCION TAR.5402XXXXXXXX4012 24.01 BLINKAY - TERRASSA-BADALONA</t>
  </si>
  <si>
    <t>COMPRA TARJ. 5402XXXXXXXX4012 MERCADONA AV.JACQUARD-TERRASSA</t>
  </si>
  <si>
    <t>COMPRA TARJ. 5402XXXXXXXX4012 ROSTISERIA COMO CASA-TERRASSA</t>
  </si>
  <si>
    <t>COMPRA TARJ. 5402XXXXXXXX3014 NUS AESTHETIC-BARCELONA</t>
  </si>
  <si>
    <t>COMPRA TARJ. 5402XXXXXXXX4012 GAMESIDEMAX.ES-CERDANYOLA DE</t>
  </si>
  <si>
    <t>COMPRA TARJ. 5402XXXXXXXX3014 365 COMTAL-BARCELONA</t>
  </si>
  <si>
    <t>DEVOLUCION TAR.5402XXXXXXXX4012 22.01 BLINKAY - TERRASSA-BADALONA</t>
  </si>
  <si>
    <t>COMPRA TARJ. 5402XXXXXXXX4012 PAYPAL *CLOUDFLARE-4029357733</t>
  </si>
  <si>
    <t>COMPRA TARJ. 5402XXXXXXXX4012 PAYPAL *QUIRUMED-35314369001</t>
  </si>
  <si>
    <t>ABONO BIZUM DE JUDITH F G</t>
  </si>
  <si>
    <t>COMPRA TARJ. 5402XXXXXXXX4012 Nespresso-Sant Cugat de</t>
  </si>
  <si>
    <t>COMPRA TARJ. 5402XXXXXXXX4012 9 CENTRIC-EL PRAT DE LL</t>
  </si>
  <si>
    <t>COMPRA TARJ. 5402XXXXXXXX3014 MARKET VIA LAIETANA-BARCELONA</t>
  </si>
  <si>
    <t>COMPRA TARJ. 5402XXXXXXXX4012 PARKING VAPOR GRAN-VENT-I-DOS DE</t>
  </si>
  <si>
    <t>COMPRA TARJ. 5402XXXXXXXX4012 BON AREA-T326-TERRASSA</t>
  </si>
  <si>
    <t>COMPRA TARJ. 5402XXXXXXXX4012 MERCADONA AVDA. JAUME I-TERRASSA</t>
  </si>
  <si>
    <t>ABONO BIZUM DE ANA C V</t>
  </si>
  <si>
    <t>COMPRA TARJ. 5402XXXXXXXX3014 VIA LAIETANA 46-BARCELONA</t>
  </si>
  <si>
    <t>COMPRA TARJ. 5402XXXXXXXX3014 PANNUS COMTAL-BARCELONA</t>
  </si>
  <si>
    <t>GAS COMERCIALIZADORA REGULADA, GAS GAS POWER11698695</t>
  </si>
  <si>
    <t>COMPRA TARJ. 5402XXXXXXXX3014 T MOBILITAT. APP-PROVENZANA, P</t>
  </si>
  <si>
    <t>COMPRA TARJ. 5402XXXXXXXX4012 IKEA SABADELL FOOD-SABADELL</t>
  </si>
  <si>
    <t>COMPRA TARJ. 5402XXXXXXXX4012 CHURRERIA ALVAREZ CASADO-VILLA ROMANA,</t>
  </si>
  <si>
    <t>COMPRA TARJ. 5402XXXXXXXX4012 PAYPAL *DISNEYPLUS-35314369001</t>
  </si>
  <si>
    <t>COMPRA TARJ. 5402XXXXXXXX4012 VEGETARIUM FLEX-SANT BOI DE L</t>
  </si>
  <si>
    <t>ELECTRICIDAD IBERDROLA CLIENTES,SA IBERDROLA ELECTRI</t>
  </si>
  <si>
    <t>ABONO BIZUM DE EDUARD P X</t>
  </si>
  <si>
    <t>COMPRA TARJ. 5402XXXXXXXX3014 MC DONALD'S TERRASSA PARC-TERRASSA</t>
  </si>
  <si>
    <t>COMPRA TARJ. 5402XXXXXXXX3014 HAPPYLANDIA TERRASSA SL-TERRASSA</t>
  </si>
  <si>
    <t>ABONO BIZUM DE MARIA R I</t>
  </si>
  <si>
    <t>COMPRA TARJ. 5402XXXXXXXX3014 HIPERCASA VALLES 2017-VENT-I-DOS DE</t>
  </si>
  <si>
    <t>ABONO BIZUM DE SUSANA GONZALEZ DIEZ</t>
  </si>
  <si>
    <t>TRANSFERENCIA A SAMMELKARTENMARKT</t>
  </si>
  <si>
    <t>COMPRA TARJ. 5402XXXXXXXX3014 EL CORTE INGLES TERRASA-TERRASSA</t>
  </si>
  <si>
    <t>ABONO BIZUM DE LYDIA ANDREA DIONIS GIORDA</t>
  </si>
  <si>
    <t>COMPRA TARJ. 5402XXXXXXXX4012 KIWOKO TERRASSA PLAZA-TARRASSA</t>
  </si>
  <si>
    <t>COMPRA TARJ. 5402XXXXXXXX3014 MERCADONA TERRA-TERRASSA</t>
  </si>
  <si>
    <t>PAGO BIZUM MIRIAM GUZMAN FERNANDEZ</t>
  </si>
  <si>
    <t>COMPRA TARJ. 5402XXXXXXXX4012 DRUNI TERRASSA 1-TERRASSA</t>
  </si>
  <si>
    <t>TRANSFERENCIA A Tramuntana</t>
  </si>
  <si>
    <t>COMPRA TARJ. 5402XXXXXXXX4012 PAYPAL *DHMATERIALM-938643707</t>
  </si>
  <si>
    <t>PAGO BIZUM LYDIA GONZALEZ DIEZ</t>
  </si>
  <si>
    <t>ABONO BIZUM DE PLACIDO LORDAN GUBIANAS</t>
  </si>
  <si>
    <t>COMPRA TARJ. 5402XXXXXXXX4012 AUTOROUTES ASF-VEDENE CEDEX</t>
  </si>
  <si>
    <t>COMPRA TARJ. 5402XXXXXXXX4012 AUTOGRILL FFH AU-CAPENDU</t>
  </si>
  <si>
    <t>COMPRA TARJ. 5402XXXXXXXX4012 CARREFOUR MARKET-L ISLE JOURDA</t>
  </si>
  <si>
    <t>COMPRA TARJ. 5402XXXXXXXX4012 EasyPark Espana S.L.U.-easypark.es</t>
  </si>
  <si>
    <t>COMPRA TARJ. 5402XXXXXXXX3014 MONOP-TOULOUSE</t>
  </si>
  <si>
    <t>COMPRA TARJ. 5402XXXXXXXX3014 LA PANETIERE-TOULOUSE</t>
  </si>
  <si>
    <t>COMPRA TARJ. 5402XXXXXXXX3014 CARREFOUR MARKET-L ISLE JOURDA</t>
  </si>
  <si>
    <t>COMPRA TARJ. 5402XXXXXXXX3014 PHARMACIE 4 CHEMINS-L'ISLE-JOURD</t>
  </si>
  <si>
    <t>COMPRA TARJ. 5402XXXXXXXX3014 RILBER-L'ISLE-JOURDA</t>
  </si>
  <si>
    <t>TRANSFERENCIA A Placido Parking</t>
  </si>
  <si>
    <t>CUOTA PROFESIONAL Col legi Infermeria Barcelona</t>
  </si>
  <si>
    <t>colegiada</t>
  </si>
  <si>
    <t>COMPRA TARJ. 5402XXXXXXXX4012 A.S. JONQUERA VENDING-LA JONQUERA</t>
  </si>
  <si>
    <t>COMPRA TARJ. 5402XXXXXXXX4012 LA JONQUERA HOSTELERIA-JONQUERA, LA</t>
  </si>
  <si>
    <t>COMPRA TARJ. 5402XXXXXXXX4012 JONQUERA - NORTE-JONQUERA, LA</t>
  </si>
  <si>
    <t>TRANSFERENCIA A ESGLESIA UNIDA</t>
  </si>
  <si>
    <t>COMPRA TARJ. 5402XXXXXXXX4012 SG TERRASSA UNIVERSITAT-SIBELIUS</t>
  </si>
  <si>
    <t>SUM de Importe</t>
  </si>
  <si>
    <t>Gasto al mes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</si>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</sst>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/yyyy"/>
    <numFmt numFmtId="165" formatCode="#,##0.00\ [$€-1]"/>
    <numFmt numFmtId="166" formatCode="dd/mm/yyyy"/>
    <numFmt numFmtId="167" formatCode="#,##0.00&quot;€&quot;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color theme="1"/>
      <name val="&quot;Google Sans Mono&quot;"/>
    </font>
    <font>
      <sz val="11.0"/>
      <color rgb="FF1F1F1F"/>
      <name val="&quot;Google Sans&quot;"/>
    </font>
    <font>
      <color theme="1"/>
      <name val="Arial"/>
    </font>
    <font>
      <b/>
      <sz val="9.0"/>
      <color theme="1"/>
      <name val="Arial"/>
    </font>
    <font>
      <color rgb="FF000000"/>
      <name val="Arial"/>
      <scheme val="minor"/>
    </font>
    <font>
      <u/>
      <color rgb="FF000000"/>
      <name val="Roboto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  <fill>
      <patternFill patternType="solid">
        <fgColor rgb="FFF4F4F5"/>
        <bgColor rgb="FFF4F4F5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6" numFmtId="0" xfId="0" applyAlignment="1" applyFill="1" applyFont="1">
      <alignment shrinkToFit="0" vertical="center" wrapText="0"/>
    </xf>
    <xf borderId="0" fillId="2" fontId="6" numFmtId="165" xfId="0" applyAlignment="1" applyFont="1" applyNumberFormat="1">
      <alignment shrinkToFit="0" vertical="center" wrapText="0"/>
    </xf>
    <xf borderId="0" fillId="3" fontId="7" numFmtId="0" xfId="0" applyAlignment="1" applyFill="1" applyFont="1">
      <alignment shrinkToFit="0" vertical="center" wrapText="0"/>
    </xf>
    <xf borderId="0" fillId="4" fontId="4" numFmtId="164" xfId="0" applyAlignment="1" applyFill="1" applyFont="1" applyNumberFormat="1">
      <alignment readingOrder="0" shrinkToFit="0" vertical="center" wrapText="0"/>
    </xf>
    <xf borderId="0" fillId="4" fontId="4" numFmtId="0" xfId="0" applyAlignment="1" applyFont="1">
      <alignment horizontal="left" readingOrder="0" shrinkToFit="0" vertical="center" wrapText="0"/>
    </xf>
    <xf borderId="0" fillId="4" fontId="5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9" numFmtId="166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4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3" fontId="4" numFmtId="166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167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166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4" xfId="0" applyAlignment="1" applyFont="1" applyNumberFormat="1">
      <alignment shrinkToFit="0" wrapText="0"/>
    </xf>
    <xf borderId="0" fillId="0" fontId="4" numFmtId="0" xfId="0" applyFont="1"/>
    <xf borderId="0" fillId="4" fontId="4" numFmtId="166" xfId="0" applyAlignment="1" applyFont="1" applyNumberFormat="1">
      <alignment readingOrder="0"/>
    </xf>
    <xf borderId="0" fillId="4" fontId="4" numFmtId="0" xfId="0" applyAlignment="1" applyFont="1">
      <alignment readingOrder="0" shrinkToFit="0" wrapText="0"/>
    </xf>
    <xf borderId="0" fillId="4" fontId="4" numFmtId="167" xfId="0" applyAlignment="1" applyFont="1" applyNumberFormat="1">
      <alignment readingOrder="0"/>
    </xf>
    <xf borderId="0" fillId="4" fontId="4" numFmtId="167" xfId="0" applyAlignment="1" applyFont="1" applyNumberFormat="1">
      <alignment readingOrder="0" shrinkToFit="0" wrapText="0"/>
    </xf>
    <xf borderId="0" fillId="3" fontId="4" numFmtId="167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4" fontId="4" numFmtId="0" xfId="0" applyAlignment="1" applyFont="1">
      <alignment readingOrder="0"/>
    </xf>
    <xf borderId="0" fillId="0" fontId="1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9" numFmtId="166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6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66" xfId="0" applyAlignment="1" applyFont="1" applyNumberFormat="1">
      <alignment horizontal="right" readingOrder="0" shrinkToFit="0" vertical="bottom" wrapText="0"/>
    </xf>
    <xf borderId="0" fillId="0" fontId="12" numFmtId="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eforma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forma 202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trac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Saldo frente a Fecha de operación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Resumen!$C$3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Resumen!$B$4:$B$43</c:f>
            </c:strRef>
          </c:cat>
          <c:val>
            <c:numRef>
              <c:f>Resumen!$C$4:$C$43</c:f>
              <c:numCache/>
            </c:numRef>
          </c:val>
        </c:ser>
        <c:axId val="969772591"/>
        <c:axId val="128376352"/>
      </c:barChart>
      <c:catAx>
        <c:axId val="96977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 de operación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76352"/>
      </c:catAx>
      <c:valAx>
        <c:axId val="128376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de Saldo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772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1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F492" sheet="Extracto"/>
  </cacheSource>
  <cacheFields>
    <cacheField name="Semana" numFmtId="0">
      <sharedItems containsSemiMixedTypes="0" containsString="0" containsNumber="1" containsInteger="1"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Fecha de operación" numFmtId="166">
      <sharedItems containsSemiMixedTypes="0" containsDate="1" containsString="0">
        <d v="2026-04-28T00:00:00Z"/>
        <d v="2026-04-27T00:00:00Z"/>
        <d v="2026-04-26T00:00:00Z"/>
        <d v="2026-04-25T00:00:00Z"/>
        <d v="2026-04-24T00:00:00Z"/>
        <d v="2026-04-23T00:00:00Z"/>
        <d v="2026-04-22T00:00:00Z"/>
        <d v="2026-04-21T00:00:00Z"/>
        <d v="2026-04-20T00:00:00Z"/>
        <d v="2026-04-19T00:00:00Z"/>
        <d v="2026-04-18T00:00:00Z"/>
        <d v="2026-04-17T00:00:00Z"/>
        <d v="2026-04-16T00:00:00Z"/>
        <d v="2026-04-15T00:00:00Z"/>
        <d v="2026-04-14T00:00:00Z"/>
        <d v="2026-04-13T00:00:00Z"/>
        <d v="2026-04-06T00:00:00Z"/>
        <d v="2026-04-05T00:00:00Z"/>
        <d v="2026-04-04T00:00:00Z"/>
        <d v="2026-04-03T00:00:00Z"/>
        <d v="2026-04-12T00:00:00Z"/>
        <d v="2026-04-11T00:00:00Z"/>
        <d v="2026-04-10T00:00:00Z"/>
        <d v="2026-04-09T00:00:00Z"/>
        <d v="2026-04-08T00:00:00Z"/>
        <d v="2026-04-07T00:00:00Z"/>
        <d v="2026-04-01T00:00:00Z"/>
        <d v="2026-03-31T00:00:00Z"/>
        <d v="2026-03-30T00:00:00Z"/>
        <d v="2026-03-27T00:00:00Z"/>
        <d v="2026-03-26T00:00:00Z"/>
        <d v="2026-03-25T00:00:00Z"/>
        <d v="2026-03-24T00:00:00Z"/>
        <d v="2026-03-23T00:00:00Z"/>
        <d v="2026-03-22T00:00:00Z"/>
        <d v="2026-03-21T00:00:00Z"/>
        <d v="2026-03-20T00:00:00Z"/>
        <d v="2026-03-19T00:00:00Z"/>
        <d v="2026-03-18T00:00:00Z"/>
        <d v="2026-03-17T00:00:00Z"/>
        <d v="2026-03-16T00:00:00Z"/>
        <d v="2026-03-15T00:00:00Z"/>
        <d v="2026-03-14T00:00:00Z"/>
        <d v="2026-03-13T00:00:00Z"/>
        <d v="2026-03-12T00:00:00Z"/>
        <d v="2026-03-11T00:00:00Z"/>
        <d v="2026-03-10T00:00:00Z"/>
        <d v="2026-03-09T00:00:00Z"/>
        <d v="2026-03-08T00:00:00Z"/>
        <d v="2026-03-07T00:00:00Z"/>
        <d v="2026-03-06T00:00:00Z"/>
        <d v="2026-03-05T00:00:00Z"/>
        <d v="2026-03-04T00:00:00Z"/>
        <d v="2026-03-03T00:00:00Z"/>
        <d v="2026-03-02T00:00:00Z"/>
        <d v="2026-03-01T00:00:00Z"/>
        <d v="2026-02-28T00:00:00Z"/>
        <d v="2026-02-27T00:00:00Z"/>
        <d v="2026-02-26T00:00:00Z"/>
        <d v="2026-02-25T00:00:00Z"/>
        <d v="2026-02-24T00:00:00Z"/>
        <d v="2026-02-23T00:00:00Z"/>
        <d v="2026-02-21T00:00:00Z"/>
        <d v="2026-02-20T00:00:00Z"/>
        <d v="2026-02-19T00:00:00Z"/>
        <d v="2026-02-18T00:00:00Z"/>
        <d v="2026-02-17T00:00:00Z"/>
        <d v="2026-02-16T00:00:00Z"/>
        <d v="2026-02-15T00:00:00Z"/>
        <d v="2026-02-13T00:00:00Z"/>
        <d v="2026-02-12T00:00:00Z"/>
        <d v="2026-02-11T00:00:00Z"/>
        <d v="2026-02-10T00:00:00Z"/>
        <d v="2026-02-09T00:00:00Z"/>
        <d v="2026-02-06T00:00:00Z"/>
        <d v="2026-02-05T00:00:00Z"/>
        <d v="2026-02-04T00:00:00Z"/>
        <d v="2026-02-03T00:00:00Z"/>
        <d v="2026-02-02T00:00:00Z"/>
        <d v="2026-02-01T00:00:00Z"/>
        <d v="2026-01-30T00:00:00Z"/>
        <d v="2026-01-29T00:00:00Z"/>
        <d v="2026-01-28T00:00:00Z"/>
        <d v="2026-01-27T00:00:00Z"/>
        <d v="2026-01-26T00:00:00Z"/>
        <d v="2026-01-23T00:00:00Z"/>
        <d v="2026-01-22T00:00:00Z"/>
        <d v="2026-01-21T00:00:00Z"/>
        <d v="2026-01-20T00:00:00Z"/>
        <d v="2026-01-19T00:00:00Z"/>
        <d v="2026-01-16T00:00:00Z"/>
        <d v="2026-01-15T00:00:00Z"/>
        <d v="2026-01-14T00:00:00Z"/>
        <d v="2026-01-13T00:00:00Z"/>
        <d v="2026-01-12T00:00:00Z"/>
        <d v="2026-01-09T00:00:00Z"/>
        <d v="2026-01-08T00:00:00Z"/>
        <d v="2026-01-07T00:00:00Z"/>
        <d v="2026-01-05T00:00:00Z"/>
        <d v="2026-01-02T00:00:00Z"/>
      </sharedItems>
    </cacheField>
    <cacheField name="Fecha valor" numFmtId="166">
      <sharedItems containsSemiMixedTypes="0" containsDate="1" containsString="0">
        <d v="2026-04-28T00:00:00Z"/>
        <d v="2026-04-27T00:00:00Z"/>
        <d v="2026-04-26T00:00:00Z"/>
        <d v="2026-04-25T00:00:00Z"/>
        <d v="2026-04-24T00:00:00Z"/>
        <d v="2026-04-23T00:00:00Z"/>
        <d v="2026-04-22T00:00:00Z"/>
        <d v="2026-04-21T00:00:00Z"/>
        <d v="2026-04-19T00:00:00Z"/>
        <d v="2026-04-20T00:00:00Z"/>
        <d v="2026-04-18T00:00:00Z"/>
        <d v="2026-04-17T00:00:00Z"/>
        <d v="2026-04-16T00:00:00Z"/>
        <d v="2026-04-15T00:00:00Z"/>
        <d v="2026-04-14T00:00:00Z"/>
        <d v="2026-04-11T00:00:00Z"/>
        <d v="2026-04-12T00:00:00Z"/>
        <d v="2026-04-13T00:00:00Z"/>
        <d v="2026-04-06T00:00:00Z"/>
        <d v="2026-04-05T00:00:00Z"/>
        <d v="2026-04-04T00:00:00Z"/>
        <d v="2026-04-01T00:00:00Z"/>
        <d v="2026-04-03T00:00:00Z"/>
        <d v="2026-04-10T00:00:00Z"/>
        <d v="2026-04-09T00:00:00Z"/>
        <d v="2026-04-08T00:00:00Z"/>
        <d v="2026-04-02T00:00:00Z"/>
        <d v="2026-04-07T00:00:00Z"/>
        <d v="2026-03-30T00:00:00Z"/>
        <d v="2026-03-31T00:00:00Z"/>
        <d v="2026-03-28T00:00:00Z"/>
        <d v="2026-03-29T00:00:00Z"/>
        <d v="2026-03-27T00:00:00Z"/>
        <d v="2026-03-26T00:00:00Z"/>
        <d v="2026-03-25T00:00:00Z"/>
        <d v="2026-03-24T00:00:00Z"/>
        <d v="2026-03-23T00:00:00Z"/>
        <d v="2026-03-22T00:00:00Z"/>
        <d v="2026-03-21T00:00:00Z"/>
        <d v="2026-03-20T00:00:00Z"/>
        <d v="2026-03-18T00:00:00Z"/>
        <d v="2026-03-19T00:00:00Z"/>
        <d v="2026-03-17T00:00:00Z"/>
        <d v="2026-03-16T00:00:00Z"/>
        <d v="2026-03-15T00:00:00Z"/>
        <d v="2026-03-14T00:00:00Z"/>
        <d v="2026-03-13T00:00:00Z"/>
        <d v="2026-03-12T00:00:00Z"/>
        <d v="2026-03-11T00:00:00Z"/>
        <d v="2026-03-10T00:00:00Z"/>
        <d v="2026-03-09T00:00:00Z"/>
        <d v="2026-03-08T00:00:00Z"/>
        <d v="2026-03-07T00:00:00Z"/>
        <d v="2026-03-06T00:00:00Z"/>
        <d v="2026-03-05T00:00:00Z"/>
        <d v="2026-03-04T00:00:00Z"/>
        <d v="2026-03-03T00:00:00Z"/>
        <d v="2026-03-02T00:00:00Z"/>
        <d v="2026-03-01T00:00:00Z"/>
        <d v="2026-02-28T00:00:00Z"/>
        <d v="2026-02-27T00:00:00Z"/>
        <d v="2026-02-26T00:00:00Z"/>
        <d v="2026-02-25T00:00:00Z"/>
        <d v="2026-02-24T00:00:00Z"/>
        <d v="2026-02-23T00:00:00Z"/>
        <d v="2026-02-21T00:00:00Z"/>
        <d v="2026-02-20T00:00:00Z"/>
        <d v="2026-02-22T00:00:00Z"/>
        <d v="2026-02-19T00:00:00Z"/>
        <d v="2026-02-18T00:00:00Z"/>
        <d v="2026-02-16T00:00:00Z"/>
        <d v="2026-02-15T00:00:00Z"/>
        <d v="2026-02-13T00:00:00Z"/>
        <d v="2026-02-12T00:00:00Z"/>
        <d v="2026-02-11T00:00:00Z"/>
        <d v="2026-02-14T00:00:00Z"/>
        <d v="2026-02-07T00:00:00Z"/>
        <d v="2026-02-10T00:00:00Z"/>
        <d v="2026-02-09T00:00:00Z"/>
        <d v="2026-02-06T00:00:00Z"/>
        <d v="2026-02-08T00:00:00Z"/>
        <d v="2026-02-05T00:00:00Z"/>
        <d v="2026-02-04T00:00:00Z"/>
        <d v="2026-02-02T00:00:00Z"/>
        <d v="2026-02-03T00:00:00Z"/>
        <d v="2026-01-30T00:00:00Z"/>
        <d v="2026-02-01T00:00:00Z"/>
        <d v="2026-01-31T00:00:00Z"/>
        <d v="2026-01-29T00:00:00Z"/>
        <d v="2026-01-26T00:00:00Z"/>
        <d v="2026-01-27T00:00:00Z"/>
        <d v="2026-01-25T00:00:00Z"/>
        <d v="2026-01-24T00:00:00Z"/>
        <d v="2026-01-21T00:00:00Z"/>
        <d v="2026-01-23T00:00:00Z"/>
        <d v="2026-01-22T00:00:00Z"/>
        <d v="2026-01-19T00:00:00Z"/>
        <d v="2026-01-20T00:00:00Z"/>
        <d v="2026-01-16T00:00:00Z"/>
        <d v="2026-01-18T00:00:00Z"/>
        <d v="2026-01-15T00:00:00Z"/>
        <d v="2026-01-17T00:00:00Z"/>
        <d v="2026-01-12T00:00:00Z"/>
        <d v="2026-01-11T00:00:00Z"/>
        <d v="2026-01-14T00:00:00Z"/>
        <d v="2026-01-13T00:00:00Z"/>
        <d v="2026-01-10T00:00:00Z"/>
        <d v="2026-01-09T00:00:00Z"/>
        <d v="2026-01-08T00:00:00Z"/>
        <d v="2026-01-07T00:00:00Z"/>
        <d v="2026-01-05T00:00:00Z"/>
        <d v="2026-01-06T00:00:00Z"/>
        <d v="2026-01-02T00:00:00Z"/>
        <d v="2026-01-04T00:00:00Z"/>
      </sharedItems>
    </cacheField>
    <cacheField name="Concepto" numFmtId="0">
      <sharedItems>
        <s v="SUPER.BON PREU S19"/>
        <s v="BLUMAS RESTAUR"/>
        <s v="EL PRAT DE LLO"/>
        <s v="CAFETERIA"/>
        <s v="Ahorro"/>
        <s v="TELEFONICA734013 100031486702"/>
        <s v="PETROVALLES JAUME"/>
        <s v="SUSHI HAND"/>
        <s v="CAL FRUITOS SA"/>
        <s v="FORN L'AVI JOR"/>
        <s v="BIZUM:Casa finde"/>
        <s v="BIZUM:Marketing"/>
        <s v="EL REFUGI"/>
        <s v="AS TU TRIES"/>
        <s v="LA PLACETA"/>
        <s v="MACXIPA SANT PERE"/>
        <s v="SPSALONES"/>
        <s v="AVV PLA DEL BONAIR"/>
        <s v="GRAS FLORISTES"/>
        <s v="FARMACIA DE VEGA"/>
        <s v="VERDECORA SANT"/>
        <s v="PARKING VAPOR"/>
        <s v="DNI/PASAPORTE TARR"/>
        <s v="LA DOLCETA"/>
        <s v="CASA AMETLLER ALIM"/>
        <s v="PANET ESTACIO NORD"/>
        <s v="ABACUS TERRASSA"/>
        <s v="GAMESIDE TERRASSA"/>
        <s v="TRESO CONTROLE AUTOMAT"/>
        <s v="LYDIA GONZALEZ DIEZ"/>
        <s v="PIZZERIACARLOSTERRAS"/>
        <s v="GAMESIDE"/>
        <s v="Marc Garrofe Urrutia"/>
        <s v="ESGLESIA EVANGELIC"/>
        <s v="BON AREA T326"/>
        <s v="GRAN BAZAR"/>
        <s v="SUSHIKO"/>
        <s v="KIABI BARICENT"/>
        <s v="AO TAKE AWAY"/>
        <s v="SANTA GLORIA"/>
        <s v="CENTRE DIGITAL"/>
        <s v="DAVID CHUECA DOMINGUEZ"/>
        <s v="KFC URGELL"/>
        <s v="CHURRERIA ALVA"/>
        <s v="FGC MAE"/>
        <s v="Daniel Joan Dionis Giordano"/>
        <s v="ANATOLIA RESTAURAN"/>
        <s v="AVICOLA SERLLUIS ("/>
        <s v="ARBITRADE BARCELONA"/>
        <s v="Temu.com"/>
        <s v="TEIKIT.ES"/>
        <s v="COMPRA TARJ. 5402XXXXXXXX4012 PAYPAL *KIABI-0665967756"/>
        <s v="COMPRA TARJ. 5402XXXXXXXX4012 REPSOL WAYLET-MADRID"/>
        <s v="PLENERGY US369A TE"/>
        <s v="Q8 106293 LE ROEULX"/>
        <s v="BIZUM:Mueble"/>
        <s v="LIDL TERRASSA PARC"/>
        <s v="Loida Cana Fernandez"/>
        <s v="TIENDANIMAL TERRAS"/>
        <s v="CROISSANT S DE"/>
        <s v="MERCADONA AVDA JAU"/>
        <s v="MAX HOGAR"/>
        <s v="ELS GELATS DE"/>
        <s v="NADIR SUPERMERCADO"/>
        <s v="BIZUM:sin concepto"/>
        <s v="DIA 31178"/>
        <s v="BAR TONI"/>
        <s v="BAZAR ASIA TERRASS"/>
        <s v="AREAS A7 MORNA.V"/>
        <s v="ACE HOTEL"/>
        <s v="SHELL DAC"/>
        <s v="IBERNEST.ES"/>
        <s v="ESSO MORNAS VI"/>
        <s v="AUTOROUTES ASF"/>
        <s v="HOREBO"/>
        <s v="SELECTA"/>
        <s v="CARREFOUR MARCHE"/>
        <s v="AUTOGRILL"/>
        <s v="APRR NFC"/>
        <s v="MAXICOFFEE GC"/>
        <s v="BP Capellen Shop"/>
        <s v="BROCANTON"/>
        <s v="Medi Market Marche En"/>
        <s v="CLOUDFLARE"/>
        <s v="CUOTA MARZO  PLAN UNI SEGUR"/>
        <s v="PRESTAMOS ADEUDO CUOTA N.8078461289 31/03/26"/>
        <s v="STATION AVIA"/>
        <s v="ENIVL9361LAMAXE"/>
        <s v="APRR"/>
        <s v="E.LECLERC"/>
        <s v="INTERMARCHE PROGECOM"/>
        <s v="HID HOTEL"/>
        <s v="DTT TECH.TRANSF., S.L.U."/>
        <s v="PRESTAMO  2103 7170 0500041553"/>
        <s v="FUNDACIO PRIVADA GOEL"/>
        <s v="CARMEN MARTI MORA"/>
        <s v="DELOITTE TECHNOLOGY   TRANSFOR"/>
        <s v="GAMESIDEMAX.ES"/>
        <s v="GELATIDINO PARC VA"/>
        <s v="VIENA PARC VALLES"/>
        <s v="UNICAJA TRAMITACIONES SA"/>
        <s v="Matricula Jan"/>
        <s v="COMPRA TARJ. 5402XXXXXXXX4012 WWW.AMAZON-LUXEMBOURG"/>
        <s v="CASA BEIKING"/>
        <s v="EL CORTE INGLES"/>
        <s v="PIJAMAS"/>
        <s v="TRANSFERENCIA A PERSI ALUMINI MOLINA"/>
        <s v="EL CISTELL"/>
        <s v="ZARA"/>
        <s v="ELS COLORS DEL XAM"/>
        <s v="FORN DE CABRIANES"/>
        <s v="WYNWOOD DIAGONAL"/>
        <s v="COMPRA TARJ. 5402XXXXXXXX4012 BLINKAY - TERRASSA-BADALONA"/>
        <s v="ROSSTISSERIES ANDR"/>
        <s v="365 T157"/>
        <s v="CALCATS GUZMAN"/>
        <s v="LA SIRENA TERRASSA"/>
        <s v="FRANCKFURT LAZARO"/>
        <s v="EXPTERRAS3"/>
        <s v="NESPRESSO TERRASSA"/>
        <s v="ADEUDO RECIBO Terrassa Cicle de l Aigua, EPEL S.A."/>
        <s v="TRANSFERENCIA DEVOLUCIONES TRIBUTARIAS, AGENCIA ESTATA"/>
        <s v="COMPRA TARJ. 5402XXXXXXXX4012 PAYPAL *GLOVO-35314369001"/>
        <s v="CONSUM TERRASSA"/>
        <s v="4 UNCES"/>
        <s v="GC RE OCTO590280 YBSTWWN"/>
        <s v="REINTEGRO CAIXER AUTOMATIC 5402XXXXXXXX4012 18.03"/>
        <s v="KIWOKO TERRASSA PL"/>
        <s v="IKEA SABADELL HFB"/>
        <s v="IKEA SABADELL FOOD"/>
        <s v="PA VALERO TERRASA"/>
        <s v="DEVOLUCION TAR.5402XXXXXXXX4012 14.03 BLINKAY - TERRASSA-BADALONA"/>
        <s v="AP. PL. DR. ROBERT"/>
        <s v="BIZUM:Ropa"/>
        <s v="TRANSFERENCIA COMERCIALIZADORA REGULADA, GAS POWER, S."/>
        <s v="MEGA ASIA"/>
        <s v="CENT VETERINARI LA"/>
        <s v="ADEUDO RECIBO SERVEIS DE L'AIGUA, SA"/>
        <s v="MERCADONA TERRASSA"/>
        <s v="CARREFOUR BOROA TA"/>
        <s v="COMPRA TARJ. 5402XXXXXXXX4012 PAYPAL *ITUNESAPPST AP-35314369001"/>
        <s v="COMPRA TARJ. 5402XXXXXXXX3014 TOMATE IBERICO-TERRASSA"/>
        <s v="COMPRA TARJ. 5402XXXXXXXX3014 TERRASA CENTRO-TERRASSA"/>
        <s v="COMPRA TARJ. 5402XXXXXXXX4012 CURSOR, AI POWERED IDE-NEW YORK"/>
        <s v="BIZUM:Zurito"/>
        <s v="COMPRA TARJ. 5402XXXXXXXX3014 CAFETERIA-VENT-IDOS- DE"/>
        <s v="DECATHLON, S.A"/>
        <s v="RET FISCAL INCENTIVO CAMPAñA H"/>
        <s v="INCENTIVO CAMPAñA HABERES"/>
        <s v="DEVOLUCION TAR.5402XXXXXXXX4012 05.03 BLINKAY - TERRASSA-BADALONA"/>
        <s v="COMPRA TARJ. 5402XXXXXXXX4012 BONPREU ESCLAT ONLINE-Les Masies V"/>
        <s v="COMPRA TARJ. 5402XXXXXXXX3014 CENTRE DENTAL LES ESCOLES-TERRASSA"/>
        <s v="ADEUDO RECIBO F HOSP.VALL D'HEBRON-INSTITUT RECERCA"/>
        <s v="COMPRA TARJ. 5402XXXXXXXX3014 PETROVALLES JAUME I-TERRASSA"/>
        <s v="DEVOLUCION TAR.5402XXXXXXXX4012 03.03 CURSOR, AI POWERED IDE-NEW YORK"/>
        <s v="OASIS FRUTERIA"/>
        <s v="COMPRA TARJ. 5402XXXXXXXX4012 PAYPAL *PMNTSBVEATS-35314369001"/>
        <s v="PRESTAMO 2103 7170 0500041553"/>
        <s v="CUOTA FEBRERO PLAN UNI SEGUR"/>
        <s v="JOAN MARC DE JUAN CHIMENO"/>
        <s v="TACISA DISTRIB"/>
        <s v="DEVOLUCION TAR.5402XXXXXXXX4012 27.02 BLINKAY - TERRASSA-BADALONA"/>
        <s v="COMPRA TARJ. 5402XXXXXXXX3014 SUPER MARKT-VENT-IDOS- DE"/>
        <s v="PRESTAMOS ADEUDO CUOTA N.8078461289 28/02/26"/>
        <s v="TAXI LIC 7774"/>
        <s v="COMPRA TARJ. 5402XXXXXXXX3014 EGARA VET-TERRASSA"/>
        <s v="COMPRA TARJ. 5402XXXXXXXX3014 AMB MIM-TERRASSA"/>
        <s v="COMPRA TARJ. 5402XXXXXXXX3014 CHURRERIA ALVAREZ CASADO-VILLA ROMANA,"/>
        <s v="TAXI"/>
        <s v="COMPRA TARJ. 5402XXXXXXXX3014 MERCADONA AVDA. JAUME I-TERRASSA"/>
        <s v="COMPRA TARJ. 5402XXXXXXXX3014 EXPRESSO IBERICO-TERRASSA"/>
        <s v="ANUL COMPRA TARJ. 5402XXXXXXXX4012 PAYPAL *UBERPAYMENT-35314369001"/>
        <s v="COMPRA TARJ. 5402XXXXXXXX4012 PAYPAL *UBERPAYMENT-35314369001"/>
        <s v="URARTU AL FOC"/>
        <s v="COMPRA TARJ. 5402XXXXXXXX3014 AGRARIA COMARCAL DEL VALL-LES FRANQUESE"/>
        <s v="DANAE RUIZ ORTEGA"/>
        <s v="DEVOLUCION TAR.5402XXXXXXXX4012 20.02 BLINKAY - TERRASSA-BADALONA"/>
        <s v="COMPRA TARJ. 5402XXXXXXXX3014 AVICOLA SERLLUIS (J)-TERRASSA"/>
        <s v="LOOT MACHINE"/>
        <s v="SABADELL"/>
        <s v="LEROY MERLIN SABAD"/>
        <s v="COMPRA TARJ. 5402XXXXXXXX3014 PA VALERO-TERRASA-TERRASSA"/>
        <s v="COMPRA TARJ. 5402XXXXXXXX4012 AMAZON-LUXEMBOURG"/>
        <s v="COMPRA TARJ. 5402XXXXXXXX3014 T272 TERRASSA 6 TAKE AWAY-TERRASSA"/>
        <s v="COMPRA TARJ. 5402XXXXXXXX3014 PANET ESTACIO NORD-TERRASSA"/>
        <s v="TRASPASO 0045-00022365-30 3IBXJPDULHME2IU7D"/>
        <s v="SUPERCOR EX.TERRAS"/>
        <s v="BIZUM:Jan"/>
        <s v="COMPRA TARJ. 5402XXXXXXXX4012 EL PRAT DE LLOBREGAT-VERT-PRAT LLOBREGA"/>
        <s v="COMPRA TARJ. 5402XXXXXXXX3014 TACISA DISTRIBUCION SL-VALLES, AVING"/>
        <s v="COMPRA TARJ. 5402XXXXXXXX4012 09.02 KIABI ESPAGNE-HEM"/>
        <s v="COMPRA TARJ. 5402XXXXXXXX4012 FARMACIA M ANTONIA MASDEU-TERRASSA"/>
        <s v="Facturas Luz Cami de Castellar"/>
        <s v="COMPRA TARJ. 5402XXXXXXXX3014 SUPERMERCAT BON PREU S194-TERRASSA"/>
        <s v="COMPRA TARJ. 5402XXXXXXXX3014 MOLDEA 2 SL-TERRASSA"/>
        <s v="COMPRA TARJ. 5402XXXXXXXX4012 BLUMAS RESTAURANTE LOUNGE-EL PRAT DE LL"/>
        <s v="COMPRA TARJ. 5402XXXXXXXX4012 WWW.AMAZON.ES-LUXEMBOURG"/>
        <s v="COMPRA TARJ. 5402XXXXXXXX3014 T272 TERRASSA 6 ALIMENTAC-TERRASSA"/>
        <s v="COMPRA TARJ. 5402XXXXXXXX3014 PANET ESTACIO NORD-VENT-I-DOS DE"/>
        <s v="COMPRA TARJ. 5402XXXXXXXX3014 FARMACIA CAP NORD-TERRASSA"/>
        <s v="COMPRA TARJ. 5402XXXXXXXX4012 CONSORCI SANITARI TERRASS-TERRASSA"/>
        <s v="COMPRA TARJ. 5402XXXXXXXX4012 AB Servicios Selecta E-Madrid"/>
        <s v="COMPRA TARJ. 5402XXXXXXXX3014 GARDEN CENTER ARGEMI-MATADEPERA"/>
        <s v="COMPRA TARJ. 5402XXXXXXXX4012 PETROVALLES JAUME I-TERRASSA"/>
        <s v="ABONO BIZUM DE JOAN J C"/>
        <s v="ABONO BIZUM DE MARC G U"/>
        <s v="ABONO BIZUM DE OSCAR F P"/>
        <s v="PAGO BIZUM SAMUEL M M"/>
        <s v="COMPRA TARJ. 5402XXXXXXXX3014 LA SIRENA TERRASSA 7-ABAT MARCET,"/>
        <s v="COMPRA TARJ. 5402XXXXXXXX4012 E7-SANT CUGAT"/>
        <s v="COMPRA TARJ. 5402XXXXXXXX4012 GRADINGCLUB-ABAT MARCET,"/>
        <s v="REINTEGRO CAIXER AUTOMATIC 5402XXXXXXXX4012 06.02"/>
        <s v="COMPRA TARJ. 5402XXXXXXXX4012 CREPS EN RUTA-TERRASSA"/>
        <s v="COMPRA TARJ. 5402XXXXXXXX3014 TERRASSA FRANCESC MACIA-TERRASSA"/>
        <s v="COMERCIALI555581 1227573132"/>
        <s v="COMPRA TARJ. 5402XXXXXXXX4012 MERCADONA VIA SABADELL-SABADELL"/>
        <s v="COMPRA TARJ. 5402XXXXXXXX4012 LEROY MERLIN SABADELL-SABADELL"/>
        <s v="COMPRA TARJ. 5402XXXXXXXX4012 APARC DIAGONAL NUMANCIA-BARCELONA"/>
        <s v="COMPRA TARJ. 5402XXXXXXXX4012 GOIKO CAN SEGALAR (B)-BARCELONA"/>
        <s v="COMPRA TARJ. 5402XXXXXXXX4012 BSM AP FLOS I CALCAT-BARCELONA"/>
        <s v="DEVOLUCION TAR.5402XXXXXXXX4012 02.02 BLINKAY - TERRASSA-BADALONA"/>
        <s v="ABONO BIZUM DE ROSA M J"/>
        <s v="COMPRA TARJ. 5402XXXXXXXX4012 ESGLESIA EVANGELICA UNIDA-TERRASSA"/>
        <s v="COMPRA TARJ. 5402XXXXXXXX3014 XIN HUA-TERRASSA"/>
        <s v="COMPRA TARJ. 5402XXXXXXXX4012 CENTRE DIGITAL UNIO-VENT-I-DOS DE"/>
        <s v="COMPRA TARJ. 5402XXXXXXXX3014 TIGER TERRASSA-TERRASSA BARC"/>
        <s v="ENVIO DE INSTANT MONEY"/>
        <s v="COMPRA TARJ. 5402XXXXXXXX3014 SPSALONES-TERRASSA"/>
        <s v="ABONO BIZUM DE LOIDA C F"/>
        <s v="CUOTA ENERO PLAN UNI SEGUR"/>
        <s v="NOMINA DE FUNDACIO PRIVADA GOEL"/>
        <s v="REINTEGRO CAIXER AUTOMATIC 5402XXXXXXXX4012 30.01"/>
        <s v="COMPRA TARJ. 5402XXXXXXXX3014 FARMACIA CONSELL-TERRASSA"/>
        <s v="TRANSFERENCIA A Golden Hoteles Barcelona SL"/>
        <s v="TRANSFERENCIA A Pere Gibert Parking"/>
        <s v="PRESTAMOS ADEUDO CUOTA N.8078461289 31/01/26"/>
        <s v="NOMINA DTT TECH.TRANSF., S.L.U."/>
        <s v="COMPRA TARJ. 5402XXXXXXXX4012 TAKASHI SL-VALENTI ALMIR"/>
        <s v="DEVOLUCION TAR.5402XXXXXXXX4012 29.01 BLINKAY - TERRASSA-BADALONA"/>
        <s v="COMPRA TARJ. 5402XXXXXXXX4012 GRANOLLERS BENZINERA SL-GRANOLLERS"/>
        <s v="COMPRA TARJ. 5402XXXXXXXX4012 Amazon.es-LUXEMBOURG"/>
        <s v="COMPRA TARJ. 5402XXXXXXXX4012 MACXIPA SANT PERE-TERRASSA"/>
        <s v="COMPRA TARJ. 5402XXXXXXXX4012 SUPERMERCADO NADIR-TERRASSA"/>
        <s v="COMPRA TARJ. 5402XXXXXXXX4012 PROYECTO VALKIRIA-TERRASSA"/>
        <s v="TELEFONOS TELEFONICA DE ESPANA SAU FIJOxxxxxx490.ene"/>
        <s v="DEVOLUCION TAR.5402XXXXXXXX4012 24.01 BLINKAY - TERRASSA-BADALONA"/>
        <s v="COMPRA TARJ. 5402XXXXXXXX4012 MERCADONA AV.JACQUARD-TERRASSA"/>
        <s v="COMPRA TARJ. 5402XXXXXXXX4012 ROSTISERIA COMO CASA-TERRASSA"/>
        <s v="COMPRA TARJ. 5402XXXXXXXX3014 NUS AESTHETIC-BARCELONA"/>
        <s v="COMPRA TARJ. 5402XXXXXXXX4012 GAMESIDEMAX.ES-CERDANYOLA DE"/>
        <s v="COMPRA TARJ. 5402XXXXXXXX3014 365 COMTAL-BARCELONA"/>
        <s v="DEVOLUCION TAR.5402XXXXXXXX4012 22.01 BLINKAY - TERRASSA-BADALONA"/>
        <s v="COMPRA TARJ. 5402XXXXXXXX4012 PAYPAL *CLOUDFLARE-4029357733"/>
        <s v="COMPRA TARJ. 5402XXXXXXXX4012 PAYPAL *QUIRUMED-35314369001"/>
        <s v="ABONO BIZUM DE JUDITH F G"/>
        <s v="COMPRA TARJ. 5402XXXXXXXX4012 Nespresso-Sant Cugat de"/>
        <s v="COMPRA TARJ. 5402XXXXXXXX4012 9 CENTRIC-EL PRAT DE LL"/>
        <s v="COMPRA TARJ. 5402XXXXXXXX3014 MARKET VIA LAIETANA-BARCELONA"/>
        <s v="COMPRA TARJ. 5402XXXXXXXX4012 PARKING VAPOR GRAN-VENT-I-DOS DE"/>
        <s v="COMPRA TARJ. 5402XXXXXXXX4012 BON AREA-T326-TERRASSA"/>
        <s v="COMPRA TARJ. 5402XXXXXXXX4012 MERCADONA AVDA. JAUME I-TERRASSA"/>
        <s v="ABONO BIZUM DE ANA C V"/>
        <s v="COMPRA TARJ. 5402XXXXXXXX3014 VIA LAIETANA 46-BARCELONA"/>
        <s v="COMPRA TARJ. 5402XXXXXXXX3014 PANNUS COMTAL-BARCELONA"/>
        <s v="GAS COMERCIALIZADORA REGULADA, GAS GAS POWER11698695"/>
        <s v="COMPRA TARJ. 5402XXXXXXXX3014 T MOBILITAT. APP-PROVENZANA, P"/>
        <s v="COMPRA TARJ. 5402XXXXXXXX4012 IKEA SABADELL HFB-SABADELL"/>
        <s v="COMPRA TARJ. 5402XXXXXXXX4012 IKEA SABADELL FOOD-SABADELL"/>
        <s v="COMPRA TARJ. 5402XXXXXXXX4012 CHURRERIA ALVAREZ CASADO-VILLA ROMANA,"/>
        <s v="COMPRA TARJ. 5402XXXXXXXX4012 PAYPAL *DISNEYPLUS-35314369001"/>
        <s v="COMPRA TARJ. 5402XXXXXXXX4012 VEGETARIUM FLEX-SANT BOI DE L"/>
        <s v="ELECTRICIDAD IBERDROLA CLIENTES,SA IBERDROLA ELECTRI"/>
        <s v="ABONO BIZUM DE EDUARD P X"/>
        <s v="COMPRA TARJ. 5402XXXXXXXX3014 MC DONALD'S TERRASSA PARC-TERRASSA"/>
        <s v="COMPRA TARJ. 5402XXXXXXXX3014 HAPPYLANDIA TERRASSA SL-TERRASSA"/>
        <s v="ABONO BIZUM DE MARIA R I"/>
        <s v="COMPRA TARJ. 5402XXXXXXXX3014 HIPERCASA VALLES 2017-VENT-I-DOS DE"/>
        <s v="ABONO BIZUM DE SUSANA GONZALEZ DIEZ"/>
        <s v="TRANSFERENCIA A SAMMELKARTENMARKT"/>
        <s v="COMPRA TARJ. 5402XXXXXXXX3014 EL CORTE INGLES TERRASA-TERRASSA"/>
        <s v="ABONO BIZUM DE LYDIA ANDREA DIONIS GIORDA"/>
        <s v="COMPRA TARJ. 5402XXXXXXXX4012 KIWOKO TERRASSA PLAZA-TARRASSA"/>
        <s v="COMPRA TARJ. 5402XXXXXXXX3014 MERCADONA TERRA-TERRASSA"/>
        <s v="PAGO BIZUM MIRIAM GUZMAN FERNANDEZ"/>
        <s v="COMPRA TARJ. 5402XXXXXXXX4012 DRUNI TERRASSA 1-TERRASSA"/>
        <s v="TRANSFERENCIA A Tramuntana"/>
        <s v="COMPRA TARJ. 5402XXXXXXXX4012 PAYPAL *DHMATERIALM-938643707"/>
        <s v="PAGO BIZUM LYDIA GONZALEZ DIEZ"/>
        <s v="ABONO BIZUM DE PLACIDO LORDAN GUBIANAS"/>
        <s v="COMPRA TARJ. 5402XXXXXXXX4012 AUTOROUTES ASF-VEDENE CEDEX"/>
        <s v="COMPRA TARJ. 5402XXXXXXXX4012 AUTOGRILL FFH AU-CAPENDU"/>
        <s v="COMPRA TARJ. 5402XXXXXXXX4012 CARREFOUR MARKET-L ISLE JOURDA"/>
        <s v="COMPRA TARJ. 5402XXXXXXXX4012 EasyPark Espana S.L.U.-easypark.es"/>
        <s v="COMPRA TARJ. 5402XXXXXXXX3014 MONOP-TOULOUSE"/>
        <s v="COMPRA TARJ. 5402XXXXXXXX3014 LA PANETIERE-TOULOUSE"/>
        <s v="COMPRA TARJ. 5402XXXXXXXX3014 CARREFOUR MARKET-L ISLE JOURDA"/>
        <s v="COMPRA TARJ. 5402XXXXXXXX3014 PHARMACIE 4 CHEMINS-L'ISLE-JOURD"/>
        <s v="COMPRA TARJ. 5402XXXXXXXX3014 RILBER-L'ISLE-JOURDA"/>
        <s v="TRANSFERENCIA A Placido Parking"/>
        <s v="CUOTA PROFESIONAL Col legi Infermeria Barcelona"/>
        <s v="COMPRA TARJ. 5402XXXXXXXX4012 A.S. JONQUERA VENDING-LA JONQUERA"/>
        <s v="COMPRA TARJ. 5402XXXXXXXX4012 LA JONQUERA HOSTELERIA-JONQUERA, LA"/>
        <s v="COMPRA TARJ. 5402XXXXXXXX4012 JONQUERA - NORTE-JONQUERA, LA"/>
        <s v="TRANSFERENCIA A ESGLESIA UNIDA"/>
        <s v="COMPRA TARJ. 5402XXXXXXXX4012 SG TERRASSA UNIVERSITAT-SIBELIUS"/>
      </sharedItems>
    </cacheField>
    <cacheField name="Importe" numFmtId="0">
      <sharedItems containsSemiMixedTypes="0" containsString="0" containsNumber="1">
        <n v="-13.91"/>
        <n v="-15.9"/>
        <n v="-13.5"/>
        <n v="-1.95"/>
        <n v="-15.0"/>
        <n v="-76.45"/>
        <n v="-12.9"/>
        <n v="-48.48"/>
        <n v="-51.9"/>
        <n v="-53.4"/>
        <n v="-3.25"/>
        <n v="-168.4"/>
        <n v="-50.0"/>
        <n v="-38.7"/>
        <n v="-3.0"/>
        <n v="-8.0"/>
        <n v="-2.47"/>
        <n v="-145.0"/>
        <n v="-31.11"/>
        <n v="-42.23"/>
        <n v="-3.55"/>
        <n v="-30.0"/>
        <n v="-1.7"/>
        <n v="-33.59"/>
        <n v="-2.8"/>
        <n v="-17.5"/>
        <n v="-38.15"/>
        <n v="-10.95"/>
        <n v="-1.0"/>
        <n v="-45.0"/>
        <n v="-9.15"/>
        <n v="83.5"/>
        <n v="-20.97"/>
        <n v="-100.0"/>
        <n v="10.0"/>
        <n v="-8.14"/>
        <n v="-4.0"/>
        <n v="-51.6"/>
        <n v="-25.5"/>
        <n v="-23.95"/>
        <n v="-47.5"/>
        <n v="-3.9"/>
        <n v="-10.68"/>
        <n v="-2.25"/>
        <n v="8.78"/>
        <n v="-8.78"/>
        <n v="-8.5"/>
        <n v="-1.6"/>
        <n v="-10.8"/>
        <n v="9.33"/>
        <n v="-28.15"/>
        <n v="-21.48"/>
        <n v="-3.91"/>
        <n v="-6.65"/>
        <n v="-1.3"/>
        <n v="-41.3"/>
        <n v="-46.8"/>
        <n v="-9.5"/>
        <n v="-53.5"/>
        <n v="-5.0"/>
        <n v="-18.98"/>
        <n v="-49.05"/>
        <n v="-10.0"/>
        <n v="-67.17"/>
        <n v="-0.59"/>
        <n v="-71.94"/>
        <n v="-16.0"/>
        <n v="-20.0"/>
        <n v="-9.75"/>
        <n v="230.0"/>
        <n v="-20.05"/>
        <n v="-115.86"/>
        <n v="-23.1"/>
        <n v="-2.99"/>
        <n v="-4.2"/>
        <n v="-7.84"/>
        <n v="-3.2"/>
        <n v="-0.75"/>
        <n v="-0.27"/>
        <n v="-24.5"/>
        <n v="-25.55"/>
        <n v="-9.0"/>
        <n v="-97.85"/>
        <n v="-55.66"/>
        <n v="-108.0"/>
        <n v="-2.9"/>
        <n v="-45.7"/>
        <n v="-43.44"/>
        <n v="-84.33"/>
        <n v="-36.9"/>
        <n v="-10.02"/>
        <n v="-41.15"/>
        <n v="-26.0"/>
        <n v="-5.2"/>
        <n v="-10.9"/>
        <n v="-14.8"/>
        <n v="-8.39"/>
        <n v="-6.18"/>
        <n v="-9.42"/>
        <n v="-122.58"/>
        <n v="-233.03"/>
        <n v="-35.39"/>
        <n v="-17.9"/>
        <n v="-70.08"/>
        <n v="-55.5"/>
        <n v="-77.42"/>
        <n v="-208.58"/>
        <n v="-16.5"/>
        <n v="1988.2"/>
        <n v="-792.16"/>
        <n v="736.93"/>
        <n v="30.0"/>
        <n v="-52.47"/>
        <n v="-21.7"/>
        <n v="-4.59"/>
        <n v="550.0"/>
        <n v="-25.0"/>
        <n v="-30.85"/>
        <n v="917.7"/>
        <n v="-2.06"/>
        <n v="-0.85"/>
        <n v="-175.0"/>
        <n v="-4.99"/>
        <n v="-79.68"/>
        <n v="-19.01"/>
        <n v="-3.1"/>
        <n v="-3.6"/>
        <n v="-6.0"/>
        <n v="-650.0"/>
        <n v="-4.06"/>
        <n v="-30.9"/>
        <n v="-29.99"/>
        <n v="-2.95"/>
        <n v="-11.5"/>
        <n v="-33.75"/>
        <n v="-55.91"/>
        <n v="-40.0"/>
        <n v="-2.49"/>
        <n v="-28.0"/>
        <n v="-13.06"/>
        <n v="-7.95"/>
        <n v="-28.38"/>
        <n v="-62.2"/>
        <n v="-16.79"/>
        <n v="-33.98"/>
        <n v="-327.46"/>
        <n v="-28.93"/>
        <n v="100.0"/>
        <n v="-17.81"/>
        <n v="-8.07"/>
        <n v="-16.96"/>
        <n v="-9.44"/>
        <n v="-0.05"/>
        <n v="-0.93"/>
        <n v="-4.93"/>
        <n v="-49.69"/>
        <n v="-600.0"/>
        <n v="-11.0"/>
        <n v="-30.17"/>
        <n v="-74.92"/>
        <n v="-3.29"/>
        <n v="-1.49"/>
        <n v="-21.57"/>
        <n v="-2.42"/>
        <n v="-29.26"/>
        <n v="2.02"/>
        <n v="-2.75"/>
        <n v="-36.0"/>
        <n v="-60.0"/>
        <n v="-0.19"/>
        <n v="-39.94"/>
        <n v="-23.99"/>
        <n v="-22.45"/>
        <n v="18.0"/>
        <n v="-4.98"/>
        <n v="-34.0"/>
        <n v="-26.45"/>
        <n v="-15.3"/>
        <n v="-34.62"/>
        <n v="-0.99"/>
        <n v="-5.05"/>
        <n v="-20.34"/>
        <n v="-17.6"/>
        <n v="-41.6"/>
        <n v="-5.7"/>
        <n v="-6.45"/>
        <n v="-19.43"/>
        <n v="-19.98"/>
        <n v="-66.5"/>
        <n v="350.0"/>
        <n v="-85.5"/>
        <n v="450.0"/>
        <n v="1.22"/>
        <n v="-1.45"/>
        <n v="-58.55"/>
        <n v="-100.57"/>
        <n v="-44.76"/>
        <n v="3.69"/>
        <n v="-6.57"/>
        <n v="-6.55"/>
        <n v="-22.19"/>
        <n v="-36.99"/>
        <n v="-41.98"/>
        <n v="22.0"/>
        <n v="-12.79"/>
        <n v="-24.97"/>
        <n v="-7.8"/>
        <n v="720.83"/>
        <n v="-22.99"/>
        <n v="1972.52"/>
        <n v="1.02"/>
        <n v="-1.35"/>
        <n v="-7.45"/>
        <n v="-76.69"/>
        <n v="-13.7"/>
        <n v="-1.2"/>
        <n v="-2.0"/>
        <n v="-72.0"/>
        <n v="-23.79"/>
        <n v="-2.4"/>
        <n v="71.93"/>
        <n v="-71.93"/>
        <n v="-17.95"/>
        <n v="-6.3"/>
        <n v="-22.71"/>
        <n v="-43.65"/>
        <n v="20.0"/>
        <n v="36.0"/>
        <n v="-17.29"/>
        <n v="1.24"/>
        <n v="-1.65"/>
        <n v="-18.89"/>
        <n v="-47.3"/>
        <n v="-4.19"/>
        <n v="-13.48"/>
        <n v="25.99"/>
        <n v="-64.14"/>
        <n v="-3.43"/>
        <n v="-8.99"/>
        <n v="-11.3"/>
        <n v="-26.48"/>
        <n v="-4.1"/>
        <n v="901.5"/>
        <n v="-15.56"/>
        <n v="-85.0"/>
        <n v="-15.2"/>
        <n v="-61.62"/>
        <n v="-46.5"/>
        <n v="-11.24"/>
        <n v="-278.57"/>
        <n v="-51.15"/>
        <n v="-33.0"/>
        <n v="-33.95"/>
        <n v="-31.69"/>
        <n v="-3.97"/>
        <n v="-0.7"/>
        <n v="-11.77"/>
        <n v="-1.5"/>
        <n v="-40.9"/>
        <n v="-42.69"/>
        <n v="25.0"/>
        <n v="-9.8"/>
        <n v="-1.75"/>
        <n v="-21.29"/>
        <n v="-17.1"/>
        <n v="-25.88"/>
        <n v="-118.48"/>
        <n v="-10.55"/>
        <n v="-273.75"/>
        <n v="-12.0"/>
        <n v="-33.65"/>
        <n v="-13.9"/>
        <n v="-0.15"/>
        <n v="0.38"/>
        <n v="65.0"/>
        <n v="-29.0"/>
        <n v="-9.81"/>
        <n v="-24.02"/>
        <n v="-300.0"/>
        <n v="-170.0"/>
        <n v="80.0"/>
        <n v="701.07"/>
        <n v="-13.95"/>
        <n v="-194.64"/>
        <n v="-13.1"/>
        <n v="-65.0"/>
        <n v="1993.92"/>
        <n v="-27.0"/>
        <n v="0.79"/>
        <n v="-2.6"/>
        <n v="-8.54"/>
        <n v="-2.43"/>
        <n v="-1.8"/>
        <n v="-5.65"/>
        <n v="0.73"/>
        <n v="-97.6"/>
        <n v="-19.49"/>
        <n v="-9.66"/>
        <n v="-0.2"/>
        <n v="-93.66"/>
        <n v="0.5"/>
        <n v="-0.65"/>
        <n v="-9.33"/>
        <n v="-3.7"/>
        <n v="-9.37"/>
        <n v="-103.48"/>
        <n v="-0.25"/>
        <n v="32.0"/>
        <n v="-414.48"/>
        <n v="-70.9"/>
        <n v="-21.0"/>
        <n v="-22.4"/>
        <n v="-5.1"/>
        <n v="-36.08"/>
        <n v="2.2"/>
        <n v="-7.39"/>
        <n v="-12.15"/>
        <n v="-64.03"/>
        <n v="-2.05"/>
        <n v="-44.94"/>
        <n v="-44.0"/>
        <n v="-100.94"/>
        <n v="-1.58"/>
        <n v="-14.9"/>
        <n v="-11.71"/>
        <n v="21.12"/>
        <n v="-20.77"/>
        <n v="-9.6"/>
        <n v="-84.0"/>
        <n v="-2.2"/>
        <n v="48.0"/>
        <n v="-61.0"/>
        <n v="9.0"/>
        <n v="-34.06"/>
        <n v="-22.53"/>
        <n v="-4.5"/>
        <n v="-1.29"/>
        <n v="-3.4"/>
        <n v="-120.0"/>
        <n v="-22.76"/>
        <n v="-117.31"/>
        <n v="-47.41"/>
        <n v="-67.5"/>
        <n v="-26.7"/>
        <n v="-16.95"/>
        <n v="-50.33"/>
        <n v="-4.13"/>
        <n v="-0.79"/>
        <n v="-1.4"/>
        <n v="-78.17"/>
        <n v="-23.9"/>
        <n v="-73.11"/>
        <n v="-21.68"/>
        <n v="-116.43"/>
        <n v="-27.3"/>
        <n v="-2.3"/>
        <n v="-12.05"/>
        <n v="-47.02"/>
        <n v="-612.5"/>
        <n v="-19.99"/>
      </sharedItems>
    </cacheField>
    <cacheField name="Categoria" numFmtId="0">
      <sharedItems>
        <s v="supermercado"/>
        <s v="deloitte"/>
        <s v="comida"/>
        <s v="ahorro"/>
        <s v="internet"/>
        <s v="gasolina"/>
        <s v="vacaciones"/>
        <s v="c3linic"/>
        <s v="peluqueria"/>
        <s v="validar"/>
        <s v="regalo"/>
        <s v="farmacia"/>
        <s v="compras casa"/>
        <s v="parking"/>
        <s v="gestiones"/>
        <s v="multa"/>
        <s v="bizum"/>
        <s v="donatiu"/>
        <s v="ropa"/>
        <s v="tren"/>
        <s v="neo"/>
        <s v="ocio"/>
        <s v="seguro banco"/>
        <s v="cuota coche"/>
        <s v="nómina"/>
        <s v="hipoteca"/>
        <s v="Ingreso Extra"/>
        <s v="guarderia"/>
        <s v="amazon"/>
        <s v="reforma casa"/>
        <s v="ropa jan"/>
        <s v="nespresso"/>
        <s v="aigua"/>
        <s v="ingresso hacienda"/>
        <s v="gas"/>
        <s v="cursor"/>
        <s v="beneficio banco"/>
        <s v="dentista"/>
        <s v="luz"/>
        <s v="parking coche"/>
        <s v="colegiad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" cacheId="0" dataCaption="" compact="0" compactData="0">
  <location ref="B2:C44" firstHeaderRow="0" firstDataRow="1" firstDataCol="0"/>
  <pivotFields>
    <pivotField name="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echa de operació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echa valo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Concep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Impor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Categoria" axis="axisRow" compact="0" outline="0" multipleItemSelectionAllowed="1" showAll="0" sortType="ascending">
      <items>
        <item x="3"/>
        <item x="32"/>
        <item x="28"/>
        <item x="36"/>
        <item x="16"/>
        <item x="7"/>
        <item x="40"/>
        <item x="2"/>
        <item x="12"/>
        <item x="23"/>
        <item x="35"/>
        <item x="1"/>
        <item x="37"/>
        <item x="17"/>
        <item x="11"/>
        <item x="34"/>
        <item x="5"/>
        <item x="14"/>
        <item x="27"/>
        <item x="25"/>
        <item x="26"/>
        <item x="33"/>
        <item x="4"/>
        <item x="38"/>
        <item x="15"/>
        <item x="20"/>
        <item x="31"/>
        <item x="24"/>
        <item x="21"/>
        <item x="13"/>
        <item x="39"/>
        <item x="8"/>
        <item x="29"/>
        <item x="10"/>
        <item x="18"/>
        <item x="30"/>
        <item x="22"/>
        <item x="0"/>
        <item x="19"/>
        <item x="6"/>
        <item x="9"/>
        <item t="default"/>
      </items>
    </pivotField>
  </pivotFields>
  <rowFields>
    <field x="5"/>
  </rowFields>
  <dataFields>
    <dataField name="SUM of Importe" fld="4" baseField="0"/>
  </dataFields>
</pivotTableDefinition>
</file>

<file path=xl/pivotTables/pivotTable2.xml><?xml version="1.0" encoding="utf-8"?>
<pivotTableDefinition xmlns="http://schemas.openxmlformats.org/spreadsheetml/2006/main" name="Resumen 2" cacheId="0" dataCaption="" compact="0" compactData="0">
  <location ref="F2:G19" firstHeaderRow="0" firstDataRow="1" firstDataCol="0"/>
  <pivotFields>
    <pivotField name="Semana" axis="axisRow" compact="0" outline="0" multipleItemSelectionAllowed="1" showAll="0" sortType="ascending">
      <items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Fecha de operació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echa valo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Concep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Impor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</rowFields>
  <dataFields>
    <dataField name="SUM of Importe" fld="4" baseField="0"/>
  </dataFields>
</pivotTableDefinition>
</file>

<file path=xl/tables/table1.xml><?xml version="1.0" encoding="utf-8"?>
<table xmlns="http://schemas.openxmlformats.org/spreadsheetml/2006/main" ref="A2:D24" displayName="GASTOS" name="GASTOS" id="1">
  <tableColumns count="4">
    <tableColumn name="F. Operativa" id="1"/>
    <tableColumn name="Concepto" id="2"/>
    <tableColumn name="Importe" id="3"/>
    <tableColumn name="CONCEPTO" id="4"/>
  </tableColumns>
  <tableStyleInfo name="Reforma 2025-style" showColumnStripes="0" showFirstColumn="1" showLastColumn="1" showRowStripes="1"/>
</table>
</file>

<file path=xl/tables/table2.xml><?xml version="1.0" encoding="utf-8"?>
<table xmlns="http://schemas.openxmlformats.org/spreadsheetml/2006/main" ref="F2:G14" displayName="RESUM" name="RESUM" id="2">
  <tableColumns count="2">
    <tableColumn name="CATEGORIAS" id="1"/>
    <tableColumn name="TOTAL" id="2"/>
  </tableColumns>
  <tableStyleInfo name="Reforma 2025-style 2" showColumnStripes="0" showFirstColumn="1" showLastColumn="1" showRowStripes="1"/>
</table>
</file>

<file path=xl/tables/table3.xml><?xml version="1.0" encoding="utf-8"?>
<table xmlns="http://schemas.openxmlformats.org/spreadsheetml/2006/main" ref="A2:F492" displayName="Tabla_1" name="Tabla_1" id="3">
  <tableColumns count="6">
    <tableColumn name="Semana" id="1"/>
    <tableColumn name="Fecha de operación" id="2"/>
    <tableColumn name="Fecha valor" id="3"/>
    <tableColumn name="Concepto" id="4"/>
    <tableColumn name="Importe" id="5"/>
    <tableColumn name="Categoria" id="6"/>
  </tableColumns>
  <tableStyleInfo name="Extrac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emu.com" TargetMode="External"/><Relationship Id="rId2" Type="http://schemas.openxmlformats.org/officeDocument/2006/relationships/hyperlink" Target="http://teikit.es" TargetMode="External"/><Relationship Id="rId3" Type="http://schemas.openxmlformats.org/officeDocument/2006/relationships/hyperlink" Target="http://ibernest.es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66.0"/>
    <col customWidth="1" min="3" max="3" width="14.88"/>
    <col customWidth="1" min="4" max="4" width="23.88"/>
    <col customWidth="1" min="6" max="6" width="26.13"/>
    <col customWidth="1" min="7" max="7" width="13.75"/>
  </cols>
  <sheetData>
    <row r="1">
      <c r="C1" s="1"/>
    </row>
    <row r="2" ht="22.5" customHeight="1">
      <c r="A2" s="2" t="s">
        <v>0</v>
      </c>
      <c r="B2" s="3" t="s">
        <v>1</v>
      </c>
      <c r="C2" s="4" t="s">
        <v>2</v>
      </c>
      <c r="D2" s="5" t="s">
        <v>3</v>
      </c>
      <c r="F2" s="5" t="s">
        <v>4</v>
      </c>
      <c r="G2" s="5" t="s">
        <v>5</v>
      </c>
    </row>
    <row r="3" ht="22.5" customHeight="1">
      <c r="A3" s="6">
        <v>46021.0</v>
      </c>
      <c r="B3" s="7" t="s">
        <v>6</v>
      </c>
      <c r="C3" s="8">
        <v>957.32</v>
      </c>
      <c r="D3" s="9" t="s">
        <v>7</v>
      </c>
      <c r="F3" s="10" t="str">
        <f t="array" ref="F3:F14">UNIQUE(D3:D23)</f>
        <v>Impostos</v>
      </c>
      <c r="G3" s="11">
        <f t="shared" ref="G3:G14" si="1">SUMIF($D$3:$D$24,F3,$C$3:$C$24)</f>
        <v>957.32</v>
      </c>
    </row>
    <row r="4" ht="22.5" customHeight="1">
      <c r="A4" s="6">
        <v>46008.0</v>
      </c>
      <c r="B4" s="7" t="s">
        <v>8</v>
      </c>
      <c r="C4" s="8">
        <v>90.75</v>
      </c>
      <c r="D4" s="9" t="s">
        <v>9</v>
      </c>
      <c r="F4" s="12" t="s">
        <v>9</v>
      </c>
      <c r="G4" s="11">
        <f t="shared" si="1"/>
        <v>100.75</v>
      </c>
    </row>
    <row r="5" ht="22.5" customHeight="1">
      <c r="A5" s="13">
        <v>46007.0</v>
      </c>
      <c r="B5" s="14" t="s">
        <v>10</v>
      </c>
      <c r="C5" s="15">
        <v>683.41</v>
      </c>
      <c r="D5" s="9" t="s">
        <v>11</v>
      </c>
      <c r="F5" s="16" t="s">
        <v>11</v>
      </c>
      <c r="G5" s="11">
        <f t="shared" si="1"/>
        <v>683.41</v>
      </c>
    </row>
    <row r="6" ht="22.5" customHeight="1">
      <c r="A6" s="6">
        <v>45995.0</v>
      </c>
      <c r="B6" s="7" t="s">
        <v>12</v>
      </c>
      <c r="C6" s="8">
        <v>258.0</v>
      </c>
      <c r="D6" s="9" t="s">
        <v>13</v>
      </c>
      <c r="F6" s="16" t="s">
        <v>13</v>
      </c>
      <c r="G6" s="11">
        <f t="shared" si="1"/>
        <v>258</v>
      </c>
    </row>
    <row r="7" ht="22.5" customHeight="1">
      <c r="A7" s="6">
        <v>45994.0</v>
      </c>
      <c r="B7" s="7" t="s">
        <v>14</v>
      </c>
      <c r="C7" s="8">
        <v>49.78</v>
      </c>
      <c r="D7" s="9" t="s">
        <v>15</v>
      </c>
      <c r="F7" s="16" t="s">
        <v>15</v>
      </c>
      <c r="G7" s="11">
        <f t="shared" si="1"/>
        <v>149.78</v>
      </c>
    </row>
    <row r="8" ht="22.5" customHeight="1">
      <c r="A8" s="13">
        <v>45993.0</v>
      </c>
      <c r="B8" s="14" t="s">
        <v>10</v>
      </c>
      <c r="C8" s="15">
        <v>2405.48</v>
      </c>
      <c r="D8" s="9" t="s">
        <v>16</v>
      </c>
      <c r="F8" s="16" t="s">
        <v>16</v>
      </c>
      <c r="G8" s="11">
        <f t="shared" si="1"/>
        <v>2405.48</v>
      </c>
    </row>
    <row r="9" ht="22.5" customHeight="1">
      <c r="A9" s="13">
        <v>45987.0</v>
      </c>
      <c r="B9" s="14" t="s">
        <v>17</v>
      </c>
      <c r="C9" s="15">
        <v>23.99</v>
      </c>
      <c r="D9" s="9" t="s">
        <v>18</v>
      </c>
      <c r="F9" s="16" t="s">
        <v>18</v>
      </c>
      <c r="G9" s="11">
        <f t="shared" si="1"/>
        <v>95.92</v>
      </c>
    </row>
    <row r="10" ht="22.5" customHeight="1">
      <c r="A10" s="6">
        <v>45987.0</v>
      </c>
      <c r="B10" s="7" t="s">
        <v>19</v>
      </c>
      <c r="C10" s="8">
        <v>39.99</v>
      </c>
      <c r="D10" s="9" t="s">
        <v>20</v>
      </c>
      <c r="F10" s="16" t="s">
        <v>20</v>
      </c>
      <c r="G10" s="11">
        <f t="shared" si="1"/>
        <v>39.99</v>
      </c>
    </row>
    <row r="11" ht="22.5" customHeight="1">
      <c r="A11" s="13">
        <v>45987.0</v>
      </c>
      <c r="B11" s="14" t="s">
        <v>21</v>
      </c>
      <c r="C11" s="15">
        <v>71.93</v>
      </c>
      <c r="D11" s="9" t="s">
        <v>18</v>
      </c>
      <c r="F11" s="16" t="s">
        <v>22</v>
      </c>
      <c r="G11" s="11">
        <f t="shared" si="1"/>
        <v>1701.95</v>
      </c>
    </row>
    <row r="12" ht="22.5" customHeight="1">
      <c r="A12" s="13">
        <v>45986.0</v>
      </c>
      <c r="B12" s="14" t="s">
        <v>23</v>
      </c>
      <c r="C12" s="15">
        <v>1701.95</v>
      </c>
      <c r="D12" s="9" t="s">
        <v>22</v>
      </c>
      <c r="F12" s="16" t="s">
        <v>24</v>
      </c>
      <c r="G12" s="11">
        <f t="shared" si="1"/>
        <v>66.65</v>
      </c>
    </row>
    <row r="13" ht="22.5" customHeight="1">
      <c r="A13" s="13">
        <v>45986.0</v>
      </c>
      <c r="B13" s="14" t="s">
        <v>25</v>
      </c>
      <c r="C13" s="15">
        <v>9.1</v>
      </c>
      <c r="D13" s="9" t="s">
        <v>24</v>
      </c>
      <c r="F13" s="16" t="s">
        <v>26</v>
      </c>
      <c r="G13" s="11">
        <f t="shared" si="1"/>
        <v>195.69</v>
      </c>
    </row>
    <row r="14" ht="22.5" customHeight="1">
      <c r="A14" s="13">
        <v>45986.0</v>
      </c>
      <c r="B14" s="14" t="s">
        <v>25</v>
      </c>
      <c r="C14" s="15">
        <v>33.12</v>
      </c>
      <c r="D14" s="9" t="s">
        <v>24</v>
      </c>
      <c r="F14" s="16" t="s">
        <v>27</v>
      </c>
      <c r="G14" s="11">
        <f t="shared" si="1"/>
        <v>514.25</v>
      </c>
    </row>
    <row r="15" ht="22.5" customHeight="1">
      <c r="A15" s="6">
        <v>45985.0</v>
      </c>
      <c r="B15" s="7" t="s">
        <v>28</v>
      </c>
      <c r="C15" s="8">
        <v>11.97</v>
      </c>
      <c r="D15" s="9" t="s">
        <v>26</v>
      </c>
    </row>
    <row r="16" ht="22.5" customHeight="1">
      <c r="A16" s="13">
        <v>45985.0</v>
      </c>
      <c r="B16" s="14" t="s">
        <v>29</v>
      </c>
      <c r="C16" s="15">
        <v>514.25</v>
      </c>
      <c r="D16" s="9" t="s">
        <v>27</v>
      </c>
    </row>
    <row r="17" ht="22.5" customHeight="1">
      <c r="A17" s="6">
        <v>45985.0</v>
      </c>
      <c r="B17" s="7" t="s">
        <v>25</v>
      </c>
      <c r="C17" s="8">
        <v>21.63</v>
      </c>
      <c r="D17" s="9" t="s">
        <v>24</v>
      </c>
    </row>
    <row r="18" ht="22.5" customHeight="1">
      <c r="A18" s="6">
        <v>45985.0</v>
      </c>
      <c r="B18" s="7" t="s">
        <v>25</v>
      </c>
      <c r="C18" s="8">
        <v>2.8</v>
      </c>
      <c r="D18" s="9" t="s">
        <v>24</v>
      </c>
    </row>
    <row r="19" ht="22.5" customHeight="1">
      <c r="A19" s="6">
        <v>45985.0</v>
      </c>
      <c r="B19" s="7" t="s">
        <v>28</v>
      </c>
      <c r="C19" s="8">
        <v>33.02</v>
      </c>
      <c r="D19" s="9" t="s">
        <v>26</v>
      </c>
    </row>
    <row r="20" ht="22.5" customHeight="1">
      <c r="A20" s="13">
        <v>45985.0</v>
      </c>
      <c r="B20" s="14" t="s">
        <v>30</v>
      </c>
      <c r="C20" s="15">
        <v>6.73</v>
      </c>
      <c r="D20" s="9" t="s">
        <v>26</v>
      </c>
    </row>
    <row r="21" ht="22.5" customHeight="1">
      <c r="A21" s="6">
        <v>45985.0</v>
      </c>
      <c r="B21" s="7" t="s">
        <v>30</v>
      </c>
      <c r="C21" s="8">
        <v>39.81</v>
      </c>
      <c r="D21" s="9" t="s">
        <v>26</v>
      </c>
    </row>
    <row r="22" ht="22.5" customHeight="1">
      <c r="A22" s="6">
        <v>45982.0</v>
      </c>
      <c r="B22" s="7" t="s">
        <v>30</v>
      </c>
      <c r="C22" s="8">
        <v>104.16</v>
      </c>
      <c r="D22" s="9" t="s">
        <v>26</v>
      </c>
    </row>
    <row r="23" ht="22.5" customHeight="1">
      <c r="A23" s="17"/>
      <c r="B23" s="9" t="s">
        <v>31</v>
      </c>
      <c r="C23" s="18">
        <v>100.0</v>
      </c>
      <c r="D23" s="9" t="s">
        <v>15</v>
      </c>
    </row>
    <row r="24" ht="22.5" customHeight="1">
      <c r="A24" s="17"/>
      <c r="B24" s="9" t="s">
        <v>32</v>
      </c>
      <c r="C24" s="18">
        <v>10.0</v>
      </c>
      <c r="D24" s="9" t="s">
        <v>9</v>
      </c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</sheetData>
  <dataValidations>
    <dataValidation type="custom" allowBlank="1" showDropDown="1" sqref="A3:A24">
      <formula1>OR(NOT(ISERROR(DATEVALUE(A3))), AND(ISNUMBER(A3), LEFT(CELL("format", A3))="D"))</formula1>
    </dataValidation>
    <dataValidation type="custom" allowBlank="1" showDropDown="1" sqref="G3:G14 C3:C24">
      <formula1>AND(ISNUMBER(C3),(NOT(OR(NOT(ISERROR(DATEVALUE(C3))), AND(ISNUMBER(C3), LEFT(CELL("format", C3))="D")))))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2.88"/>
    <col customWidth="1" min="3" max="3" width="17.13"/>
    <col customWidth="1" min="4" max="4" width="27.13"/>
    <col customWidth="1" min="5" max="5" width="14.25"/>
    <col customWidth="1" min="6" max="6" width="12.88"/>
    <col customWidth="1" min="7" max="7" width="13.5"/>
    <col customWidth="1" min="8" max="8" width="25.5"/>
    <col customWidth="1" min="9" max="9" width="18.5"/>
    <col customWidth="1" min="10" max="10" width="31.25"/>
    <col customWidth="1" min="11" max="11" width="14.5"/>
    <col customWidth="1" min="12" max="12" width="12.5"/>
    <col customWidth="1" min="13" max="13" width="16.5"/>
  </cols>
  <sheetData>
    <row r="1">
      <c r="A1" s="19"/>
      <c r="B1" s="19"/>
      <c r="C1" s="19"/>
      <c r="D1" s="19"/>
      <c r="E1" s="19"/>
      <c r="F1" s="19"/>
      <c r="G1" s="19"/>
      <c r="H1" s="19"/>
    </row>
    <row r="2" ht="22.5" customHeight="1">
      <c r="A2" s="20" t="s">
        <v>33</v>
      </c>
      <c r="B2" s="20" t="s">
        <v>34</v>
      </c>
      <c r="C2" s="20" t="s">
        <v>35</v>
      </c>
      <c r="D2" s="20" t="s">
        <v>1</v>
      </c>
      <c r="E2" s="20" t="s">
        <v>2</v>
      </c>
      <c r="F2" s="21" t="s">
        <v>36</v>
      </c>
      <c r="G2" s="19"/>
      <c r="H2" s="19"/>
    </row>
    <row r="3" ht="22.5" customHeight="1">
      <c r="A3" s="22">
        <v>16.0</v>
      </c>
      <c r="B3" s="23">
        <v>46140.0</v>
      </c>
      <c r="C3" s="23">
        <v>46140.0</v>
      </c>
      <c r="D3" s="24" t="s">
        <v>37</v>
      </c>
      <c r="E3" s="25">
        <v>-13.91</v>
      </c>
      <c r="F3" s="24" t="s">
        <v>38</v>
      </c>
      <c r="G3" s="19"/>
      <c r="H3" s="19"/>
    </row>
    <row r="4" ht="22.5" customHeight="1">
      <c r="A4" s="22">
        <v>16.0</v>
      </c>
      <c r="B4" s="23">
        <v>46140.0</v>
      </c>
      <c r="C4" s="23">
        <v>46140.0</v>
      </c>
      <c r="D4" s="24" t="s">
        <v>39</v>
      </c>
      <c r="E4" s="25">
        <v>-15.9</v>
      </c>
      <c r="F4" s="24" t="s">
        <v>40</v>
      </c>
      <c r="G4" s="19"/>
      <c r="H4" s="19"/>
    </row>
    <row r="5" ht="22.5" customHeight="1">
      <c r="A5" s="22">
        <v>16.0</v>
      </c>
      <c r="B5" s="23">
        <v>46140.0</v>
      </c>
      <c r="C5" s="23">
        <v>46140.0</v>
      </c>
      <c r="D5" s="24" t="s">
        <v>41</v>
      </c>
      <c r="E5" s="25">
        <v>-13.5</v>
      </c>
      <c r="F5" s="24" t="s">
        <v>40</v>
      </c>
      <c r="G5" s="26"/>
      <c r="H5" s="27"/>
      <c r="I5" s="27"/>
      <c r="J5" s="28"/>
      <c r="K5" s="28"/>
      <c r="L5" s="29"/>
      <c r="M5" s="30"/>
      <c r="N5" s="26"/>
      <c r="O5" s="27"/>
      <c r="P5" s="27"/>
      <c r="Q5" s="28"/>
    </row>
    <row r="6" ht="22.5" customHeight="1">
      <c r="A6" s="22">
        <v>16.0</v>
      </c>
      <c r="B6" s="23">
        <v>46140.0</v>
      </c>
      <c r="C6" s="23">
        <v>46140.0</v>
      </c>
      <c r="D6" s="24" t="s">
        <v>42</v>
      </c>
      <c r="E6" s="25">
        <v>-1.95</v>
      </c>
      <c r="F6" s="24" t="s">
        <v>43</v>
      </c>
      <c r="G6" s="26"/>
      <c r="H6" s="27"/>
      <c r="I6" s="27"/>
      <c r="J6" s="28"/>
      <c r="K6" s="28"/>
      <c r="L6" s="29"/>
      <c r="M6" s="30"/>
      <c r="N6" s="26"/>
      <c r="O6" s="27"/>
      <c r="P6" s="27"/>
      <c r="Q6" s="28"/>
    </row>
    <row r="7" ht="22.5" customHeight="1">
      <c r="A7" s="22">
        <v>16.0</v>
      </c>
      <c r="B7" s="23">
        <v>46140.0</v>
      </c>
      <c r="C7" s="23">
        <v>46140.0</v>
      </c>
      <c r="D7" s="24" t="s">
        <v>44</v>
      </c>
      <c r="E7" s="25">
        <v>-15.0</v>
      </c>
      <c r="F7" s="24" t="s">
        <v>45</v>
      </c>
      <c r="G7" s="26"/>
      <c r="H7" s="27"/>
      <c r="I7" s="27"/>
      <c r="J7" s="28"/>
      <c r="K7" s="28"/>
      <c r="L7" s="29"/>
      <c r="M7" s="30"/>
      <c r="N7" s="26"/>
      <c r="O7" s="27"/>
      <c r="P7" s="27"/>
      <c r="Q7" s="28"/>
    </row>
    <row r="8" ht="22.5" customHeight="1">
      <c r="A8" s="22">
        <v>16.0</v>
      </c>
      <c r="B8" s="23">
        <v>46139.0</v>
      </c>
      <c r="C8" s="23">
        <v>46139.0</v>
      </c>
      <c r="D8" s="24" t="s">
        <v>46</v>
      </c>
      <c r="E8" s="25">
        <v>-76.45</v>
      </c>
      <c r="F8" s="24" t="s">
        <v>47</v>
      </c>
      <c r="G8" s="26"/>
      <c r="H8" s="27"/>
      <c r="I8" s="27"/>
      <c r="J8" s="28"/>
      <c r="K8" s="28"/>
      <c r="L8" s="29"/>
      <c r="M8" s="30"/>
      <c r="N8" s="26"/>
      <c r="O8" s="27"/>
      <c r="P8" s="27"/>
      <c r="Q8" s="28"/>
    </row>
    <row r="9" ht="22.5" customHeight="1">
      <c r="A9" s="22">
        <v>16.0</v>
      </c>
      <c r="B9" s="23">
        <v>46139.0</v>
      </c>
      <c r="C9" s="23">
        <v>46139.0</v>
      </c>
      <c r="D9" s="24" t="s">
        <v>39</v>
      </c>
      <c r="E9" s="25">
        <v>-15.9</v>
      </c>
      <c r="F9" s="24" t="s">
        <v>40</v>
      </c>
      <c r="G9" s="19"/>
      <c r="H9" s="31"/>
      <c r="I9" s="32"/>
      <c r="J9" s="32"/>
      <c r="K9" s="33"/>
      <c r="L9" s="34"/>
      <c r="M9" s="35"/>
      <c r="N9" s="35"/>
      <c r="O9" s="36"/>
      <c r="P9" s="36"/>
      <c r="Q9" s="37"/>
    </row>
    <row r="10" ht="22.5" customHeight="1">
      <c r="A10" s="22">
        <v>16.0</v>
      </c>
      <c r="B10" s="23">
        <v>46139.0</v>
      </c>
      <c r="C10" s="23">
        <v>46139.0</v>
      </c>
      <c r="D10" s="24" t="s">
        <v>41</v>
      </c>
      <c r="E10" s="25">
        <v>-12.9</v>
      </c>
      <c r="F10" s="24" t="s">
        <v>40</v>
      </c>
      <c r="G10" s="19"/>
      <c r="H10" s="38"/>
      <c r="I10" s="39"/>
      <c r="J10" s="40"/>
      <c r="K10" s="41"/>
      <c r="L10" s="42"/>
      <c r="M10" s="34"/>
      <c r="N10" s="35"/>
      <c r="O10" s="35"/>
      <c r="P10" s="36"/>
      <c r="Q10" s="36"/>
    </row>
    <row r="11" ht="22.5" customHeight="1">
      <c r="A11" s="22">
        <v>15.0</v>
      </c>
      <c r="B11" s="23">
        <v>46138.0</v>
      </c>
      <c r="C11" s="23">
        <v>46138.0</v>
      </c>
      <c r="D11" s="24" t="s">
        <v>48</v>
      </c>
      <c r="E11" s="25">
        <v>-48.48</v>
      </c>
      <c r="F11" s="24" t="s">
        <v>49</v>
      </c>
      <c r="G11" s="19"/>
      <c r="H11" s="38"/>
      <c r="I11" s="31"/>
      <c r="J11" s="32"/>
      <c r="K11" s="43"/>
      <c r="L11" s="33"/>
      <c r="M11" s="44"/>
    </row>
    <row r="12" ht="22.5" customHeight="1">
      <c r="A12" s="22">
        <v>15.0</v>
      </c>
      <c r="B12" s="23">
        <v>46138.0</v>
      </c>
      <c r="C12" s="23">
        <v>46138.0</v>
      </c>
      <c r="D12" s="24" t="s">
        <v>50</v>
      </c>
      <c r="E12" s="25">
        <v>-51.9</v>
      </c>
      <c r="F12" s="24" t="s">
        <v>43</v>
      </c>
      <c r="G12" s="19"/>
      <c r="H12" s="38"/>
      <c r="I12" s="39"/>
      <c r="J12" s="40"/>
      <c r="K12" s="41"/>
      <c r="L12" s="42"/>
      <c r="M12" s="44"/>
    </row>
    <row r="13" ht="22.5" customHeight="1">
      <c r="A13" s="22">
        <v>15.0</v>
      </c>
      <c r="B13" s="23">
        <v>46137.0</v>
      </c>
      <c r="C13" s="23">
        <v>46137.0</v>
      </c>
      <c r="D13" s="24" t="s">
        <v>51</v>
      </c>
      <c r="E13" s="25">
        <v>-53.4</v>
      </c>
      <c r="F13" s="24" t="s">
        <v>38</v>
      </c>
      <c r="G13" s="19"/>
      <c r="H13" s="38"/>
      <c r="I13" s="31"/>
      <c r="J13" s="32"/>
      <c r="K13" s="43"/>
      <c r="L13" s="33"/>
      <c r="M13" s="44"/>
    </row>
    <row r="14" ht="22.5" customHeight="1">
      <c r="A14" s="22">
        <v>15.0</v>
      </c>
      <c r="B14" s="23">
        <v>46136.0</v>
      </c>
      <c r="C14" s="23">
        <v>46136.0</v>
      </c>
      <c r="D14" s="24" t="s">
        <v>52</v>
      </c>
      <c r="E14" s="25">
        <v>-3.25</v>
      </c>
      <c r="F14" s="24" t="s">
        <v>43</v>
      </c>
      <c r="G14" s="19"/>
      <c r="H14" s="38"/>
      <c r="I14" s="39"/>
      <c r="J14" s="45"/>
      <c r="K14" s="45"/>
      <c r="L14" s="42"/>
    </row>
    <row r="15" ht="22.5" customHeight="1">
      <c r="A15" s="22">
        <v>15.0</v>
      </c>
      <c r="B15" s="23">
        <v>46136.0</v>
      </c>
      <c r="C15" s="23">
        <v>46136.0</v>
      </c>
      <c r="D15" s="24" t="s">
        <v>53</v>
      </c>
      <c r="E15" s="25">
        <v>-168.4</v>
      </c>
      <c r="F15" s="24" t="s">
        <v>54</v>
      </c>
      <c r="G15" s="19"/>
      <c r="H15" s="19"/>
    </row>
    <row r="16" ht="22.5" customHeight="1">
      <c r="A16" s="22">
        <v>15.0</v>
      </c>
      <c r="B16" s="23">
        <v>46136.0</v>
      </c>
      <c r="C16" s="23">
        <v>46136.0</v>
      </c>
      <c r="D16" s="24" t="s">
        <v>44</v>
      </c>
      <c r="E16" s="25">
        <v>-15.0</v>
      </c>
      <c r="F16" s="24" t="s">
        <v>45</v>
      </c>
      <c r="G16" s="19"/>
      <c r="H16" s="19"/>
    </row>
    <row r="17" ht="22.5" customHeight="1">
      <c r="A17" s="22">
        <v>15.0</v>
      </c>
      <c r="B17" s="23">
        <v>46135.0</v>
      </c>
      <c r="C17" s="23">
        <v>46135.0</v>
      </c>
      <c r="D17" s="24" t="s">
        <v>55</v>
      </c>
      <c r="E17" s="25">
        <v>-50.0</v>
      </c>
      <c r="F17" s="24" t="s">
        <v>56</v>
      </c>
      <c r="G17" s="19"/>
      <c r="H17" s="19"/>
    </row>
    <row r="18" ht="22.5" customHeight="1">
      <c r="A18" s="22">
        <v>15.0</v>
      </c>
      <c r="B18" s="23">
        <v>46135.0</v>
      </c>
      <c r="C18" s="23">
        <v>46135.0</v>
      </c>
      <c r="D18" s="24" t="s">
        <v>57</v>
      </c>
      <c r="E18" s="25">
        <v>-38.7</v>
      </c>
      <c r="F18" s="24" t="s">
        <v>43</v>
      </c>
      <c r="G18" s="19"/>
      <c r="H18" s="19"/>
    </row>
    <row r="19" ht="22.5" customHeight="1">
      <c r="A19" s="22">
        <v>15.0</v>
      </c>
      <c r="B19" s="23">
        <v>46135.0</v>
      </c>
      <c r="C19" s="23">
        <v>46135.0</v>
      </c>
      <c r="D19" s="24" t="s">
        <v>58</v>
      </c>
      <c r="E19" s="25">
        <v>-3.0</v>
      </c>
      <c r="F19" s="24" t="s">
        <v>43</v>
      </c>
      <c r="G19" s="19"/>
      <c r="H19" s="19"/>
    </row>
    <row r="20" ht="22.5" customHeight="1">
      <c r="A20" s="22">
        <v>15.0</v>
      </c>
      <c r="B20" s="23">
        <v>46135.0</v>
      </c>
      <c r="C20" s="23">
        <v>46135.0</v>
      </c>
      <c r="D20" s="24" t="s">
        <v>59</v>
      </c>
      <c r="E20" s="25">
        <v>-8.0</v>
      </c>
      <c r="F20" s="24" t="s">
        <v>43</v>
      </c>
      <c r="G20" s="19"/>
      <c r="H20" s="19"/>
    </row>
    <row r="21" ht="22.5" customHeight="1">
      <c r="A21" s="22">
        <v>15.0</v>
      </c>
      <c r="B21" s="23">
        <v>46135.0</v>
      </c>
      <c r="C21" s="23">
        <v>46135.0</v>
      </c>
      <c r="D21" s="24" t="s">
        <v>60</v>
      </c>
      <c r="E21" s="25">
        <v>-2.47</v>
      </c>
      <c r="F21" s="24" t="s">
        <v>43</v>
      </c>
      <c r="G21" s="19"/>
      <c r="H21" s="19"/>
    </row>
    <row r="22" ht="22.5" customHeight="1">
      <c r="A22" s="22">
        <v>15.0</v>
      </c>
      <c r="B22" s="23">
        <v>46135.0</v>
      </c>
      <c r="C22" s="23">
        <v>46135.0</v>
      </c>
      <c r="D22" s="24" t="s">
        <v>61</v>
      </c>
      <c r="E22" s="25">
        <v>-145.0</v>
      </c>
      <c r="F22" s="24" t="s">
        <v>62</v>
      </c>
      <c r="G22" s="19"/>
      <c r="H22" s="19"/>
    </row>
    <row r="23" ht="22.5" customHeight="1">
      <c r="A23" s="22">
        <v>15.0</v>
      </c>
      <c r="B23" s="23">
        <v>46135.0</v>
      </c>
      <c r="C23" s="23">
        <v>46135.0</v>
      </c>
      <c r="D23" s="24" t="s">
        <v>63</v>
      </c>
      <c r="E23" s="25">
        <v>-3.0</v>
      </c>
      <c r="F23" s="24" t="s">
        <v>64</v>
      </c>
      <c r="G23" s="19"/>
      <c r="H23" s="19"/>
    </row>
    <row r="24" ht="22.5" customHeight="1">
      <c r="A24" s="22">
        <v>15.0</v>
      </c>
      <c r="B24" s="23">
        <v>46135.0</v>
      </c>
      <c r="C24" s="23">
        <v>46135.0</v>
      </c>
      <c r="D24" s="24" t="s">
        <v>65</v>
      </c>
      <c r="E24" s="25">
        <v>-15.0</v>
      </c>
      <c r="F24" s="24" t="s">
        <v>66</v>
      </c>
      <c r="G24" s="19"/>
      <c r="H24" s="19"/>
    </row>
    <row r="25" ht="22.5" customHeight="1">
      <c r="A25" s="22">
        <v>15.0</v>
      </c>
      <c r="B25" s="23">
        <v>46134.0</v>
      </c>
      <c r="C25" s="23">
        <v>46134.0</v>
      </c>
      <c r="D25" s="24" t="s">
        <v>67</v>
      </c>
      <c r="E25" s="25">
        <v>-31.11</v>
      </c>
      <c r="F25" s="24" t="s">
        <v>68</v>
      </c>
      <c r="G25" s="19"/>
      <c r="H25" s="19"/>
    </row>
    <row r="26" ht="22.5" customHeight="1">
      <c r="A26" s="22">
        <v>15.0</v>
      </c>
      <c r="B26" s="23">
        <v>46134.0</v>
      </c>
      <c r="C26" s="23">
        <v>46134.0</v>
      </c>
      <c r="D26" s="24" t="s">
        <v>69</v>
      </c>
      <c r="E26" s="25">
        <v>-42.23</v>
      </c>
      <c r="F26" s="24" t="s">
        <v>70</v>
      </c>
      <c r="G26" s="19"/>
      <c r="H26" s="19"/>
    </row>
    <row r="27" ht="22.5" customHeight="1">
      <c r="A27" s="22">
        <v>15.0</v>
      </c>
      <c r="B27" s="23">
        <v>46134.0</v>
      </c>
      <c r="C27" s="23">
        <v>46134.0</v>
      </c>
      <c r="D27" s="24" t="s">
        <v>71</v>
      </c>
      <c r="E27" s="25">
        <v>-3.55</v>
      </c>
      <c r="F27" s="24" t="s">
        <v>72</v>
      </c>
      <c r="G27" s="19"/>
      <c r="H27" s="19"/>
    </row>
    <row r="28" ht="22.5" customHeight="1">
      <c r="A28" s="22">
        <v>15.0</v>
      </c>
      <c r="B28" s="23">
        <v>46134.0</v>
      </c>
      <c r="C28" s="23">
        <v>46134.0</v>
      </c>
      <c r="D28" s="24" t="s">
        <v>73</v>
      </c>
      <c r="E28" s="25">
        <v>-30.0</v>
      </c>
      <c r="F28" s="24" t="s">
        <v>74</v>
      </c>
      <c r="G28" s="19"/>
      <c r="H28" s="19"/>
    </row>
    <row r="29" ht="22.5" customHeight="1">
      <c r="A29" s="22">
        <v>15.0</v>
      </c>
      <c r="B29" s="23">
        <v>46134.0</v>
      </c>
      <c r="C29" s="23">
        <v>46134.0</v>
      </c>
      <c r="D29" s="24" t="s">
        <v>75</v>
      </c>
      <c r="E29" s="25">
        <v>-1.7</v>
      </c>
      <c r="F29" s="24" t="s">
        <v>43</v>
      </c>
      <c r="G29" s="19"/>
      <c r="H29" s="19"/>
    </row>
    <row r="30" ht="22.5" customHeight="1">
      <c r="A30" s="22">
        <v>15.0</v>
      </c>
      <c r="B30" s="23">
        <v>46133.0</v>
      </c>
      <c r="C30" s="23">
        <v>46133.0</v>
      </c>
      <c r="D30" s="24" t="s">
        <v>76</v>
      </c>
      <c r="E30" s="25">
        <v>-33.59</v>
      </c>
      <c r="F30" s="24" t="s">
        <v>38</v>
      </c>
      <c r="G30" s="19"/>
      <c r="H30" s="19"/>
    </row>
    <row r="31" ht="22.5" customHeight="1">
      <c r="A31" s="22">
        <v>15.0</v>
      </c>
      <c r="B31" s="23">
        <v>46133.0</v>
      </c>
      <c r="C31" s="23">
        <v>46133.0</v>
      </c>
      <c r="D31" s="24" t="s">
        <v>77</v>
      </c>
      <c r="E31" s="25">
        <v>-2.8</v>
      </c>
      <c r="F31" s="24" t="s">
        <v>43</v>
      </c>
      <c r="G31" s="19"/>
      <c r="H31" s="19"/>
    </row>
    <row r="32" ht="22.5" customHeight="1">
      <c r="A32" s="22">
        <v>15.0</v>
      </c>
      <c r="B32" s="23">
        <v>46133.0</v>
      </c>
      <c r="C32" s="23">
        <v>46133.0</v>
      </c>
      <c r="D32" s="24" t="s">
        <v>39</v>
      </c>
      <c r="E32" s="25">
        <v>-17.5</v>
      </c>
      <c r="F32" s="24" t="s">
        <v>40</v>
      </c>
      <c r="G32" s="19"/>
      <c r="H32" s="19"/>
    </row>
    <row r="33" ht="22.5" customHeight="1">
      <c r="A33" s="22">
        <v>15.0</v>
      </c>
      <c r="B33" s="23">
        <v>46133.0</v>
      </c>
      <c r="C33" s="23">
        <v>46133.0</v>
      </c>
      <c r="D33" s="24" t="s">
        <v>78</v>
      </c>
      <c r="E33" s="25">
        <v>-38.15</v>
      </c>
      <c r="F33" s="24" t="s">
        <v>66</v>
      </c>
      <c r="G33" s="19"/>
      <c r="H33" s="19"/>
    </row>
    <row r="34" ht="22.5" customHeight="1">
      <c r="A34" s="22">
        <v>15.0</v>
      </c>
      <c r="B34" s="23">
        <v>46133.0</v>
      </c>
      <c r="C34" s="23">
        <v>46133.0</v>
      </c>
      <c r="D34" s="24" t="s">
        <v>41</v>
      </c>
      <c r="E34" s="25">
        <v>-10.95</v>
      </c>
      <c r="F34" s="24" t="s">
        <v>40</v>
      </c>
      <c r="G34" s="19"/>
      <c r="H34" s="19"/>
    </row>
    <row r="35" ht="22.5" customHeight="1">
      <c r="A35" s="22">
        <v>15.0</v>
      </c>
      <c r="B35" s="23">
        <v>46133.0</v>
      </c>
      <c r="C35" s="23">
        <v>46131.0</v>
      </c>
      <c r="D35" s="24" t="s">
        <v>79</v>
      </c>
      <c r="E35" s="25">
        <v>-1.0</v>
      </c>
      <c r="F35" s="24" t="s">
        <v>66</v>
      </c>
      <c r="G35" s="19"/>
      <c r="H35" s="19"/>
    </row>
    <row r="36" ht="22.5" customHeight="1">
      <c r="A36" s="22">
        <v>15.0</v>
      </c>
      <c r="B36" s="23">
        <v>46133.0</v>
      </c>
      <c r="C36" s="23">
        <v>46131.0</v>
      </c>
      <c r="D36" s="24" t="s">
        <v>80</v>
      </c>
      <c r="E36" s="25">
        <v>-45.0</v>
      </c>
      <c r="F36" s="24" t="s">
        <v>81</v>
      </c>
      <c r="G36" s="19"/>
      <c r="H36" s="19"/>
    </row>
    <row r="37" ht="22.5" customHeight="1">
      <c r="A37" s="22">
        <v>15.0</v>
      </c>
      <c r="B37" s="23">
        <v>46132.0</v>
      </c>
      <c r="C37" s="23">
        <v>46132.0</v>
      </c>
      <c r="D37" s="24" t="s">
        <v>39</v>
      </c>
      <c r="E37" s="25">
        <v>-17.5</v>
      </c>
      <c r="F37" s="24" t="s">
        <v>40</v>
      </c>
      <c r="G37" s="19"/>
      <c r="H37" s="19"/>
    </row>
    <row r="38" ht="22.5" customHeight="1">
      <c r="A38" s="22">
        <v>15.0</v>
      </c>
      <c r="B38" s="23">
        <v>46132.0</v>
      </c>
      <c r="C38" s="23">
        <v>46132.0</v>
      </c>
      <c r="D38" s="24" t="s">
        <v>41</v>
      </c>
      <c r="E38" s="25">
        <v>-9.15</v>
      </c>
      <c r="F38" s="24" t="s">
        <v>40</v>
      </c>
      <c r="G38" s="19"/>
      <c r="H38" s="19"/>
    </row>
    <row r="39" ht="22.5" customHeight="1">
      <c r="A39" s="22">
        <v>14.0</v>
      </c>
      <c r="B39" s="23">
        <v>46131.0</v>
      </c>
      <c r="C39" s="23">
        <v>46131.0</v>
      </c>
      <c r="D39" s="24" t="s">
        <v>82</v>
      </c>
      <c r="E39" s="25">
        <v>83.5</v>
      </c>
      <c r="F39" s="24" t="s">
        <v>66</v>
      </c>
      <c r="G39" s="19"/>
      <c r="H39" s="19"/>
    </row>
    <row r="40" ht="22.5" customHeight="1">
      <c r="A40" s="22">
        <v>14.0</v>
      </c>
      <c r="B40" s="23">
        <v>46131.0</v>
      </c>
      <c r="C40" s="23">
        <v>46131.0</v>
      </c>
      <c r="D40" s="24" t="s">
        <v>83</v>
      </c>
      <c r="E40" s="25">
        <v>-20.97</v>
      </c>
      <c r="F40" s="24" t="s">
        <v>43</v>
      </c>
      <c r="G40" s="19"/>
      <c r="H40" s="19"/>
    </row>
    <row r="41" ht="22.5" customHeight="1">
      <c r="A41" s="22">
        <v>14.0</v>
      </c>
      <c r="B41" s="23">
        <v>46131.0</v>
      </c>
      <c r="C41" s="23">
        <v>46131.0</v>
      </c>
      <c r="D41" s="24" t="s">
        <v>84</v>
      </c>
      <c r="E41" s="25">
        <v>-100.0</v>
      </c>
      <c r="F41" s="24" t="s">
        <v>66</v>
      </c>
      <c r="G41" s="19"/>
      <c r="H41" s="19"/>
    </row>
    <row r="42" ht="22.5" customHeight="1">
      <c r="A42" s="22">
        <v>14.0</v>
      </c>
      <c r="B42" s="23">
        <v>46131.0</v>
      </c>
      <c r="C42" s="23">
        <v>46131.0</v>
      </c>
      <c r="D42" s="24" t="s">
        <v>85</v>
      </c>
      <c r="E42" s="25">
        <v>10.0</v>
      </c>
      <c r="F42" s="24" t="s">
        <v>86</v>
      </c>
      <c r="G42" s="19"/>
      <c r="H42" s="19"/>
    </row>
    <row r="43" ht="22.5" customHeight="1">
      <c r="A43" s="22">
        <v>14.0</v>
      </c>
      <c r="B43" s="23">
        <v>46131.0</v>
      </c>
      <c r="C43" s="23">
        <v>46131.0</v>
      </c>
      <c r="D43" s="24" t="s">
        <v>87</v>
      </c>
      <c r="E43" s="25">
        <v>-30.0</v>
      </c>
      <c r="F43" s="24" t="s">
        <v>88</v>
      </c>
      <c r="G43" s="19"/>
      <c r="H43" s="19"/>
    </row>
    <row r="44" ht="22.5" customHeight="1">
      <c r="A44" s="22">
        <v>14.0</v>
      </c>
      <c r="B44" s="23">
        <v>46130.0</v>
      </c>
      <c r="C44" s="23">
        <v>46130.0</v>
      </c>
      <c r="D44" s="24" t="s">
        <v>89</v>
      </c>
      <c r="E44" s="25">
        <v>-8.14</v>
      </c>
      <c r="F44" s="24" t="s">
        <v>38</v>
      </c>
      <c r="G44" s="19"/>
      <c r="H44" s="19"/>
    </row>
    <row r="45" ht="22.5" customHeight="1">
      <c r="A45" s="22">
        <v>14.0</v>
      </c>
      <c r="B45" s="23">
        <v>46130.0</v>
      </c>
      <c r="C45" s="23">
        <v>46130.0</v>
      </c>
      <c r="D45" s="24" t="s">
        <v>90</v>
      </c>
      <c r="E45" s="25">
        <v>-4.0</v>
      </c>
      <c r="F45" s="24" t="s">
        <v>70</v>
      </c>
      <c r="G45" s="19"/>
      <c r="H45" s="19"/>
    </row>
    <row r="46" ht="22.5" customHeight="1">
      <c r="A46" s="22">
        <v>14.0</v>
      </c>
      <c r="B46" s="23">
        <v>46129.0</v>
      </c>
      <c r="C46" s="23">
        <v>46129.0</v>
      </c>
      <c r="D46" s="24" t="s">
        <v>91</v>
      </c>
      <c r="E46" s="25">
        <v>-51.6</v>
      </c>
      <c r="F46" s="24" t="s">
        <v>43</v>
      </c>
      <c r="G46" s="19"/>
      <c r="H46" s="19"/>
    </row>
    <row r="47" ht="22.5" customHeight="1">
      <c r="A47" s="22">
        <v>14.0</v>
      </c>
      <c r="B47" s="23">
        <v>46129.0</v>
      </c>
      <c r="C47" s="23">
        <v>46129.0</v>
      </c>
      <c r="D47" s="24" t="s">
        <v>92</v>
      </c>
      <c r="E47" s="25">
        <v>-25.5</v>
      </c>
      <c r="F47" s="24" t="s">
        <v>93</v>
      </c>
      <c r="G47" s="19"/>
      <c r="H47" s="19"/>
    </row>
    <row r="48" ht="22.5" customHeight="1">
      <c r="A48" s="22">
        <v>14.0</v>
      </c>
      <c r="B48" s="23">
        <v>46129.0</v>
      </c>
      <c r="C48" s="23">
        <v>46129.0</v>
      </c>
      <c r="D48" s="24" t="s">
        <v>41</v>
      </c>
      <c r="E48" s="25">
        <v>-23.95</v>
      </c>
      <c r="F48" s="24" t="s">
        <v>40</v>
      </c>
      <c r="G48" s="19"/>
      <c r="H48" s="19"/>
    </row>
    <row r="49" ht="22.5" customHeight="1">
      <c r="A49" s="22">
        <v>14.0</v>
      </c>
      <c r="B49" s="23">
        <v>46129.0</v>
      </c>
      <c r="C49" s="23">
        <v>46129.0</v>
      </c>
      <c r="D49" s="24" t="s">
        <v>42</v>
      </c>
      <c r="E49" s="25">
        <v>-1.95</v>
      </c>
      <c r="F49" s="24" t="s">
        <v>43</v>
      </c>
      <c r="G49" s="19"/>
      <c r="H49" s="19"/>
    </row>
    <row r="50" ht="22.5" customHeight="1">
      <c r="A50" s="22">
        <v>14.0</v>
      </c>
      <c r="B50" s="23">
        <v>46129.0</v>
      </c>
      <c r="C50" s="23">
        <v>46129.0</v>
      </c>
      <c r="D50" s="24" t="s">
        <v>44</v>
      </c>
      <c r="E50" s="25">
        <v>-15.0</v>
      </c>
      <c r="F50" s="24" t="s">
        <v>45</v>
      </c>
      <c r="G50" s="19"/>
      <c r="H50" s="19"/>
    </row>
    <row r="51" ht="22.5" customHeight="1">
      <c r="A51" s="22">
        <v>14.0</v>
      </c>
      <c r="B51" s="23">
        <v>46128.0</v>
      </c>
      <c r="C51" s="23">
        <v>46128.0</v>
      </c>
      <c r="D51" s="24" t="s">
        <v>94</v>
      </c>
      <c r="E51" s="25">
        <v>-47.5</v>
      </c>
      <c r="F51" s="24" t="s">
        <v>43</v>
      </c>
      <c r="G51" s="19"/>
      <c r="H51" s="19"/>
    </row>
    <row r="52" ht="22.5" customHeight="1">
      <c r="A52" s="22">
        <v>14.0</v>
      </c>
      <c r="B52" s="23">
        <v>46128.0</v>
      </c>
      <c r="C52" s="23">
        <v>46128.0</v>
      </c>
      <c r="D52" s="24" t="s">
        <v>95</v>
      </c>
      <c r="E52" s="25">
        <v>-3.9</v>
      </c>
      <c r="F52" s="24" t="s">
        <v>43</v>
      </c>
      <c r="G52" s="19"/>
      <c r="H52" s="19"/>
    </row>
    <row r="53" ht="22.5" customHeight="1">
      <c r="A53" s="22">
        <v>14.0</v>
      </c>
      <c r="B53" s="23">
        <v>46128.0</v>
      </c>
      <c r="C53" s="23">
        <v>46128.0</v>
      </c>
      <c r="D53" s="24" t="s">
        <v>96</v>
      </c>
      <c r="E53" s="25">
        <v>-10.68</v>
      </c>
      <c r="F53" s="24" t="s">
        <v>66</v>
      </c>
      <c r="G53" s="19"/>
      <c r="H53" s="19"/>
    </row>
    <row r="54" ht="22.5" customHeight="1">
      <c r="A54" s="22">
        <v>14.0</v>
      </c>
      <c r="B54" s="23">
        <v>46127.0</v>
      </c>
      <c r="C54" s="23">
        <v>46127.0</v>
      </c>
      <c r="D54" s="24" t="s">
        <v>37</v>
      </c>
      <c r="E54" s="25">
        <v>-2.25</v>
      </c>
      <c r="F54" s="24" t="s">
        <v>38</v>
      </c>
      <c r="G54" s="19"/>
      <c r="H54" s="19"/>
    </row>
    <row r="55" ht="22.5" customHeight="1">
      <c r="A55" s="22">
        <v>14.0</v>
      </c>
      <c r="B55" s="23">
        <v>46127.0</v>
      </c>
      <c r="C55" s="23">
        <v>46127.0</v>
      </c>
      <c r="D55" s="24" t="s">
        <v>97</v>
      </c>
      <c r="E55" s="25">
        <v>8.78</v>
      </c>
      <c r="F55" s="24" t="s">
        <v>86</v>
      </c>
      <c r="G55" s="19"/>
      <c r="H55" s="19"/>
    </row>
    <row r="56" ht="22.5" customHeight="1">
      <c r="A56" s="22">
        <v>14.0</v>
      </c>
      <c r="B56" s="23">
        <v>46127.0</v>
      </c>
      <c r="C56" s="23">
        <v>46127.0</v>
      </c>
      <c r="D56" s="24" t="s">
        <v>98</v>
      </c>
      <c r="E56" s="25">
        <v>-8.78</v>
      </c>
      <c r="F56" s="24" t="s">
        <v>43</v>
      </c>
      <c r="G56" s="19"/>
      <c r="H56" s="19"/>
    </row>
    <row r="57" ht="22.5" customHeight="1">
      <c r="A57" s="22">
        <v>14.0</v>
      </c>
      <c r="B57" s="23">
        <v>46127.0</v>
      </c>
      <c r="C57" s="23">
        <v>46127.0</v>
      </c>
      <c r="D57" s="24" t="s">
        <v>98</v>
      </c>
      <c r="E57" s="25">
        <v>-8.5</v>
      </c>
      <c r="F57" s="24" t="s">
        <v>43</v>
      </c>
      <c r="G57" s="19"/>
      <c r="H57" s="19"/>
    </row>
    <row r="58" ht="22.5" customHeight="1">
      <c r="A58" s="22">
        <v>14.0</v>
      </c>
      <c r="B58" s="23">
        <v>46127.0</v>
      </c>
      <c r="C58" s="23">
        <v>46127.0</v>
      </c>
      <c r="D58" s="24" t="s">
        <v>99</v>
      </c>
      <c r="E58" s="25">
        <v>-1.6</v>
      </c>
      <c r="F58" s="24" t="s">
        <v>43</v>
      </c>
    </row>
    <row r="59" ht="22.5" customHeight="1">
      <c r="A59" s="22">
        <v>14.0</v>
      </c>
      <c r="B59" s="23">
        <v>46127.0</v>
      </c>
      <c r="C59" s="23">
        <v>46127.0</v>
      </c>
      <c r="D59" s="24" t="s">
        <v>100</v>
      </c>
      <c r="E59" s="25">
        <v>-10.8</v>
      </c>
      <c r="F59" s="24" t="s">
        <v>101</v>
      </c>
    </row>
    <row r="60" ht="22.5" customHeight="1">
      <c r="A60" s="22">
        <v>14.0</v>
      </c>
      <c r="B60" s="23">
        <v>46126.0</v>
      </c>
      <c r="C60" s="23">
        <v>46126.0</v>
      </c>
      <c r="D60" s="24" t="s">
        <v>102</v>
      </c>
      <c r="E60" s="25">
        <v>9.33</v>
      </c>
      <c r="F60" s="24" t="s">
        <v>86</v>
      </c>
    </row>
    <row r="61" ht="22.5" customHeight="1">
      <c r="A61" s="22">
        <v>14.0</v>
      </c>
      <c r="B61" s="23">
        <v>46126.0</v>
      </c>
      <c r="C61" s="23">
        <v>46126.0</v>
      </c>
      <c r="D61" s="24" t="s">
        <v>103</v>
      </c>
      <c r="E61" s="25">
        <v>-28.15</v>
      </c>
      <c r="F61" s="24" t="s">
        <v>43</v>
      </c>
    </row>
    <row r="62" ht="22.5" customHeight="1">
      <c r="A62" s="22">
        <v>14.0</v>
      </c>
      <c r="B62" s="23">
        <v>46126.0</v>
      </c>
      <c r="C62" s="23">
        <v>46126.0</v>
      </c>
      <c r="D62" s="24" t="s">
        <v>76</v>
      </c>
      <c r="E62" s="25">
        <v>-21.48</v>
      </c>
      <c r="F62" s="24" t="s">
        <v>38</v>
      </c>
    </row>
    <row r="63" ht="22.5" customHeight="1">
      <c r="A63" s="22">
        <v>14.0</v>
      </c>
      <c r="B63" s="23">
        <v>46126.0</v>
      </c>
      <c r="C63" s="23">
        <v>46126.0</v>
      </c>
      <c r="D63" s="24" t="s">
        <v>39</v>
      </c>
      <c r="E63" s="25">
        <v>-17.5</v>
      </c>
      <c r="F63" s="24" t="s">
        <v>40</v>
      </c>
    </row>
    <row r="64" ht="22.5" customHeight="1">
      <c r="A64" s="22">
        <v>14.0</v>
      </c>
      <c r="B64" s="23">
        <v>46126.0</v>
      </c>
      <c r="C64" s="23">
        <v>46126.0</v>
      </c>
      <c r="D64" s="24" t="s">
        <v>104</v>
      </c>
      <c r="E64" s="25">
        <v>-3.91</v>
      </c>
      <c r="F64" s="24" t="s">
        <v>38</v>
      </c>
    </row>
    <row r="65" ht="22.5" customHeight="1">
      <c r="A65" s="22">
        <v>14.0</v>
      </c>
      <c r="B65" s="23">
        <v>46126.0</v>
      </c>
      <c r="C65" s="23">
        <v>46126.0</v>
      </c>
      <c r="D65" s="24" t="s">
        <v>41</v>
      </c>
      <c r="E65" s="25">
        <v>-6.65</v>
      </c>
      <c r="F65" s="24" t="s">
        <v>40</v>
      </c>
    </row>
    <row r="66" ht="22.5" customHeight="1">
      <c r="A66" s="22">
        <v>14.0</v>
      </c>
      <c r="B66" s="23">
        <v>46126.0</v>
      </c>
      <c r="C66" s="23">
        <v>46123.0</v>
      </c>
      <c r="D66" s="24" t="s">
        <v>105</v>
      </c>
      <c r="E66" s="25">
        <v>-1.0</v>
      </c>
      <c r="F66" s="24" t="s">
        <v>43</v>
      </c>
    </row>
    <row r="67" ht="22.5" customHeight="1">
      <c r="A67" s="22">
        <v>14.0</v>
      </c>
      <c r="B67" s="23">
        <v>46126.0</v>
      </c>
      <c r="C67" s="23">
        <v>46123.0</v>
      </c>
      <c r="D67" s="24" t="s">
        <v>105</v>
      </c>
      <c r="E67" s="25">
        <v>-1.3</v>
      </c>
      <c r="F67" s="24" t="s">
        <v>43</v>
      </c>
    </row>
    <row r="68" ht="22.5" customHeight="1">
      <c r="A68" s="22">
        <v>14.0</v>
      </c>
      <c r="B68" s="23">
        <v>46126.0</v>
      </c>
      <c r="C68" s="23">
        <v>46124.0</v>
      </c>
      <c r="D68" s="46" t="s">
        <v>106</v>
      </c>
      <c r="E68" s="25">
        <v>-41.3</v>
      </c>
      <c r="F68" s="24" t="s">
        <v>56</v>
      </c>
    </row>
    <row r="69" ht="22.5" customHeight="1">
      <c r="A69" s="22">
        <v>14.0</v>
      </c>
      <c r="B69" s="23">
        <v>46126.0</v>
      </c>
      <c r="C69" s="23">
        <v>46124.0</v>
      </c>
      <c r="D69" s="46" t="s">
        <v>107</v>
      </c>
      <c r="E69" s="25">
        <v>-46.8</v>
      </c>
      <c r="F69" s="24" t="s">
        <v>43</v>
      </c>
    </row>
    <row r="70" ht="22.5" customHeight="1">
      <c r="A70" s="22">
        <v>14.0</v>
      </c>
      <c r="B70" s="23">
        <v>46125.0</v>
      </c>
      <c r="C70" s="23">
        <v>46125.0</v>
      </c>
      <c r="D70" s="24" t="s">
        <v>39</v>
      </c>
      <c r="E70" s="25">
        <v>-17.5</v>
      </c>
      <c r="F70" s="24" t="s">
        <v>40</v>
      </c>
    </row>
    <row r="71" ht="22.5" customHeight="1">
      <c r="A71" s="22">
        <v>14.0</v>
      </c>
      <c r="B71" s="23">
        <v>46125.0</v>
      </c>
      <c r="C71" s="23">
        <v>46125.0</v>
      </c>
      <c r="D71" s="24" t="s">
        <v>41</v>
      </c>
      <c r="E71" s="25">
        <v>-9.5</v>
      </c>
      <c r="F71" s="24" t="s">
        <v>40</v>
      </c>
    </row>
    <row r="72" ht="22.5" customHeight="1">
      <c r="A72" s="47">
        <v>13.0</v>
      </c>
      <c r="B72" s="48">
        <v>46118.0</v>
      </c>
      <c r="C72" s="48">
        <v>46118.0</v>
      </c>
      <c r="D72" s="49" t="s">
        <v>108</v>
      </c>
      <c r="E72" s="50">
        <v>-53.5</v>
      </c>
      <c r="F72" s="49" t="s">
        <v>93</v>
      </c>
    </row>
    <row r="73" ht="22.5" customHeight="1">
      <c r="A73" s="47">
        <v>13.0</v>
      </c>
      <c r="B73" s="48">
        <v>46118.0</v>
      </c>
      <c r="C73" s="48">
        <v>46118.0</v>
      </c>
      <c r="D73" s="49" t="s">
        <v>109</v>
      </c>
      <c r="E73" s="50">
        <v>-5.0</v>
      </c>
      <c r="F73" s="49" t="s">
        <v>49</v>
      </c>
    </row>
    <row r="74" ht="22.5" customHeight="1">
      <c r="A74" s="51">
        <v>13.0</v>
      </c>
      <c r="B74" s="52">
        <v>46117.0</v>
      </c>
      <c r="C74" s="52">
        <v>46117.0</v>
      </c>
      <c r="D74" s="53" t="s">
        <v>69</v>
      </c>
      <c r="E74" s="54">
        <v>-18.98</v>
      </c>
      <c r="F74" s="53" t="s">
        <v>70</v>
      </c>
    </row>
    <row r="75" ht="22.5" customHeight="1">
      <c r="A75" s="51">
        <v>13.0</v>
      </c>
      <c r="B75" s="52">
        <v>46117.0</v>
      </c>
      <c r="C75" s="52">
        <v>46117.0</v>
      </c>
      <c r="D75" s="53" t="s">
        <v>110</v>
      </c>
      <c r="E75" s="54">
        <v>-49.05</v>
      </c>
      <c r="F75" s="53" t="s">
        <v>49</v>
      </c>
    </row>
    <row r="76" ht="22.5" customHeight="1">
      <c r="A76" s="51">
        <v>13.0</v>
      </c>
      <c r="B76" s="52">
        <v>46117.0</v>
      </c>
      <c r="C76" s="52">
        <v>46117.0</v>
      </c>
      <c r="D76" s="53" t="s">
        <v>44</v>
      </c>
      <c r="E76" s="54">
        <v>-10.0</v>
      </c>
      <c r="F76" s="53" t="s">
        <v>45</v>
      </c>
    </row>
    <row r="77" ht="22.5" customHeight="1">
      <c r="A77" s="51">
        <v>13.0</v>
      </c>
      <c r="B77" s="52">
        <v>46116.0</v>
      </c>
      <c r="C77" s="52">
        <v>46116.0</v>
      </c>
      <c r="D77" s="53" t="s">
        <v>37</v>
      </c>
      <c r="E77" s="54">
        <v>-67.17</v>
      </c>
      <c r="F77" s="53" t="s">
        <v>38</v>
      </c>
    </row>
    <row r="78" ht="22.5" customHeight="1">
      <c r="A78" s="51">
        <v>13.0</v>
      </c>
      <c r="B78" s="52">
        <v>46116.0</v>
      </c>
      <c r="C78" s="52">
        <v>46116.0</v>
      </c>
      <c r="D78" s="53" t="s">
        <v>37</v>
      </c>
      <c r="E78" s="54">
        <v>-0.59</v>
      </c>
      <c r="F78" s="53" t="s">
        <v>38</v>
      </c>
    </row>
    <row r="79" ht="22.5" customHeight="1">
      <c r="A79" s="51">
        <v>13.0</v>
      </c>
      <c r="B79" s="52">
        <v>46115.0</v>
      </c>
      <c r="C79" s="52">
        <v>46113.0</v>
      </c>
      <c r="D79" s="53" t="s">
        <v>111</v>
      </c>
      <c r="E79" s="54">
        <v>-71.94</v>
      </c>
      <c r="F79" s="53" t="s">
        <v>54</v>
      </c>
    </row>
    <row r="80" ht="22.5" customHeight="1">
      <c r="A80" s="51">
        <v>13.0</v>
      </c>
      <c r="B80" s="52">
        <v>46115.0</v>
      </c>
      <c r="C80" s="52">
        <v>46115.0</v>
      </c>
      <c r="D80" s="53" t="s">
        <v>44</v>
      </c>
      <c r="E80" s="54">
        <v>-15.0</v>
      </c>
      <c r="F80" s="53" t="s">
        <v>45</v>
      </c>
    </row>
    <row r="81" ht="22.5" customHeight="1">
      <c r="A81" s="22">
        <v>13.0</v>
      </c>
      <c r="B81" s="23">
        <v>46124.0</v>
      </c>
      <c r="C81" s="23">
        <v>46124.0</v>
      </c>
      <c r="D81" s="24" t="s">
        <v>112</v>
      </c>
      <c r="E81" s="25">
        <v>-16.0</v>
      </c>
      <c r="F81" s="24" t="s">
        <v>70</v>
      </c>
    </row>
    <row r="82" ht="22.5" customHeight="1">
      <c r="A82" s="22">
        <v>13.0</v>
      </c>
      <c r="B82" s="23">
        <v>46124.0</v>
      </c>
      <c r="C82" s="23">
        <v>46124.0</v>
      </c>
      <c r="D82" s="24" t="s">
        <v>44</v>
      </c>
      <c r="E82" s="25">
        <v>-20.0</v>
      </c>
      <c r="F82" s="24" t="s">
        <v>45</v>
      </c>
    </row>
    <row r="83" ht="22.5" customHeight="1">
      <c r="A83" s="22">
        <v>13.0</v>
      </c>
      <c r="B83" s="23">
        <v>46123.0</v>
      </c>
      <c r="C83" s="23">
        <v>46123.0</v>
      </c>
      <c r="D83" s="24" t="s">
        <v>113</v>
      </c>
      <c r="E83" s="25">
        <v>-9.75</v>
      </c>
      <c r="F83" s="24" t="s">
        <v>38</v>
      </c>
    </row>
    <row r="84" ht="22.5" customHeight="1">
      <c r="A84" s="22">
        <v>13.0</v>
      </c>
      <c r="B84" s="23">
        <v>46123.0</v>
      </c>
      <c r="C84" s="23">
        <v>46123.0</v>
      </c>
      <c r="D84" s="24" t="s">
        <v>114</v>
      </c>
      <c r="E84" s="25">
        <v>230.0</v>
      </c>
      <c r="F84" s="24" t="s">
        <v>54</v>
      </c>
    </row>
    <row r="85" ht="22.5" customHeight="1">
      <c r="A85" s="22">
        <v>13.0</v>
      </c>
      <c r="B85" s="23">
        <v>46123.0</v>
      </c>
      <c r="C85" s="23">
        <v>46123.0</v>
      </c>
      <c r="D85" s="24" t="s">
        <v>115</v>
      </c>
      <c r="E85" s="25">
        <v>-20.05</v>
      </c>
      <c r="F85" s="24" t="s">
        <v>116</v>
      </c>
    </row>
    <row r="86" ht="22.5" customHeight="1">
      <c r="A86" s="22">
        <v>13.0</v>
      </c>
      <c r="B86" s="23">
        <v>46123.0</v>
      </c>
      <c r="C86" s="23">
        <v>46123.0</v>
      </c>
      <c r="D86" s="24" t="s">
        <v>117</v>
      </c>
      <c r="E86" s="25">
        <v>-1.95</v>
      </c>
      <c r="F86" s="24" t="s">
        <v>43</v>
      </c>
    </row>
    <row r="87" ht="22.5" customHeight="1">
      <c r="A87" s="22">
        <v>13.0</v>
      </c>
      <c r="B87" s="23">
        <v>46122.0</v>
      </c>
      <c r="C87" s="23">
        <v>46122.0</v>
      </c>
      <c r="D87" s="24" t="s">
        <v>118</v>
      </c>
      <c r="E87" s="25">
        <v>-115.86</v>
      </c>
      <c r="F87" s="24" t="s">
        <v>38</v>
      </c>
    </row>
    <row r="88" ht="22.5" customHeight="1">
      <c r="A88" s="22">
        <v>13.0</v>
      </c>
      <c r="B88" s="23">
        <v>46122.0</v>
      </c>
      <c r="C88" s="23">
        <v>46122.0</v>
      </c>
      <c r="D88" s="24" t="s">
        <v>41</v>
      </c>
      <c r="E88" s="25">
        <v>-23.1</v>
      </c>
      <c r="F88" s="24" t="s">
        <v>40</v>
      </c>
    </row>
    <row r="89" ht="22.5" customHeight="1">
      <c r="A89" s="22">
        <v>13.0</v>
      </c>
      <c r="B89" s="23">
        <v>46122.0</v>
      </c>
      <c r="C89" s="23">
        <v>46122.0</v>
      </c>
      <c r="D89" s="24" t="s">
        <v>44</v>
      </c>
      <c r="E89" s="25">
        <v>-15.0</v>
      </c>
      <c r="F89" s="24" t="s">
        <v>45</v>
      </c>
    </row>
    <row r="90" ht="22.5" customHeight="1">
      <c r="A90" s="22">
        <v>13.0</v>
      </c>
      <c r="B90" s="23">
        <v>46121.0</v>
      </c>
      <c r="C90" s="23">
        <v>46121.0</v>
      </c>
      <c r="D90" s="24" t="s">
        <v>69</v>
      </c>
      <c r="E90" s="25">
        <v>-2.99</v>
      </c>
      <c r="F90" s="24" t="s">
        <v>70</v>
      </c>
    </row>
    <row r="91" ht="22.5" customHeight="1">
      <c r="A91" s="22">
        <v>13.0</v>
      </c>
      <c r="B91" s="23">
        <v>46121.0</v>
      </c>
      <c r="C91" s="23">
        <v>46121.0</v>
      </c>
      <c r="D91" s="24" t="s">
        <v>119</v>
      </c>
      <c r="E91" s="25">
        <v>-4.2</v>
      </c>
      <c r="F91" s="24" t="s">
        <v>70</v>
      </c>
    </row>
    <row r="92" ht="22.5" customHeight="1">
      <c r="A92" s="22">
        <v>13.0</v>
      </c>
      <c r="B92" s="23">
        <v>46121.0</v>
      </c>
      <c r="C92" s="23">
        <v>46121.0</v>
      </c>
      <c r="D92" s="24" t="s">
        <v>96</v>
      </c>
      <c r="E92" s="25">
        <v>-7.84</v>
      </c>
      <c r="F92" s="24" t="s">
        <v>66</v>
      </c>
    </row>
    <row r="93" ht="22.5" customHeight="1">
      <c r="A93" s="22">
        <v>13.0</v>
      </c>
      <c r="B93" s="23">
        <v>46120.0</v>
      </c>
      <c r="C93" s="23">
        <v>46120.0</v>
      </c>
      <c r="D93" s="24" t="s">
        <v>120</v>
      </c>
      <c r="E93" s="25">
        <v>-3.2</v>
      </c>
      <c r="F93" s="24" t="s">
        <v>43</v>
      </c>
    </row>
    <row r="94" ht="22.5" customHeight="1">
      <c r="A94" s="22">
        <v>13.0</v>
      </c>
      <c r="B94" s="23">
        <v>46120.0</v>
      </c>
      <c r="C94" s="23">
        <v>46120.0</v>
      </c>
      <c r="D94" s="24" t="s">
        <v>121</v>
      </c>
      <c r="E94" s="25">
        <v>-0.75</v>
      </c>
      <c r="F94" s="24" t="s">
        <v>38</v>
      </c>
    </row>
    <row r="95" ht="22.5" customHeight="1">
      <c r="A95" s="22">
        <v>13.0</v>
      </c>
      <c r="B95" s="23">
        <v>46120.0</v>
      </c>
      <c r="C95" s="23">
        <v>46120.0</v>
      </c>
      <c r="D95" s="24" t="s">
        <v>122</v>
      </c>
      <c r="E95" s="25">
        <v>-45.0</v>
      </c>
      <c r="F95" s="24" t="s">
        <v>86</v>
      </c>
    </row>
    <row r="96" ht="22.5" customHeight="1">
      <c r="A96" s="22">
        <v>13.0</v>
      </c>
      <c r="B96" s="23">
        <v>46120.0</v>
      </c>
      <c r="C96" s="23">
        <v>46120.0</v>
      </c>
      <c r="D96" s="24" t="s">
        <v>123</v>
      </c>
      <c r="E96" s="25">
        <v>-0.27</v>
      </c>
      <c r="F96" s="24" t="s">
        <v>38</v>
      </c>
    </row>
    <row r="97" ht="22.5" customHeight="1">
      <c r="A97" s="22">
        <v>13.0</v>
      </c>
      <c r="B97" s="23">
        <v>46120.0</v>
      </c>
      <c r="C97" s="23">
        <v>46120.0</v>
      </c>
      <c r="D97" s="24" t="s">
        <v>124</v>
      </c>
      <c r="E97" s="25">
        <v>-24.5</v>
      </c>
      <c r="F97" s="24" t="s">
        <v>43</v>
      </c>
    </row>
    <row r="98" ht="22.5" customHeight="1">
      <c r="A98" s="22">
        <v>13.0</v>
      </c>
      <c r="B98" s="23">
        <v>46120.0</v>
      </c>
      <c r="C98" s="23">
        <v>46120.0</v>
      </c>
      <c r="D98" s="24" t="s">
        <v>125</v>
      </c>
      <c r="E98" s="25">
        <v>-25.55</v>
      </c>
      <c r="F98" s="24" t="s">
        <v>70</v>
      </c>
    </row>
    <row r="99" ht="22.5" customHeight="1">
      <c r="A99" s="22">
        <v>13.0</v>
      </c>
      <c r="B99" s="23">
        <v>46120.0</v>
      </c>
      <c r="C99" s="23">
        <v>46116.0</v>
      </c>
      <c r="D99" s="24" t="s">
        <v>126</v>
      </c>
      <c r="E99" s="25">
        <v>-9.0</v>
      </c>
      <c r="F99" s="24" t="s">
        <v>54</v>
      </c>
    </row>
    <row r="100" ht="22.5" customHeight="1">
      <c r="A100" s="22">
        <v>13.0</v>
      </c>
      <c r="B100" s="23">
        <v>46120.0</v>
      </c>
      <c r="C100" s="23">
        <v>46115.0</v>
      </c>
      <c r="D100" s="24" t="s">
        <v>127</v>
      </c>
      <c r="E100" s="25">
        <v>-97.85</v>
      </c>
      <c r="F100" s="24" t="s">
        <v>54</v>
      </c>
    </row>
    <row r="101" ht="22.5" customHeight="1">
      <c r="A101" s="22">
        <v>13.0</v>
      </c>
      <c r="B101" s="23">
        <v>46120.0</v>
      </c>
      <c r="C101" s="23">
        <v>46116.0</v>
      </c>
      <c r="D101" s="24" t="s">
        <v>128</v>
      </c>
      <c r="E101" s="25">
        <v>-55.66</v>
      </c>
      <c r="F101" s="24" t="s">
        <v>49</v>
      </c>
    </row>
    <row r="102" ht="22.5" customHeight="1">
      <c r="A102" s="22">
        <v>13.0</v>
      </c>
      <c r="B102" s="23">
        <v>46120.0</v>
      </c>
      <c r="C102" s="23">
        <v>46118.0</v>
      </c>
      <c r="D102" s="46" t="s">
        <v>129</v>
      </c>
      <c r="E102" s="25">
        <v>-108.0</v>
      </c>
      <c r="F102" s="24" t="s">
        <v>70</v>
      </c>
      <c r="G102" s="19"/>
      <c r="H102" s="19"/>
    </row>
    <row r="103" ht="22.5" customHeight="1">
      <c r="A103" s="22">
        <v>13.0</v>
      </c>
      <c r="B103" s="23">
        <v>46120.0</v>
      </c>
      <c r="C103" s="23">
        <v>46116.0</v>
      </c>
      <c r="D103" s="24" t="s">
        <v>130</v>
      </c>
      <c r="E103" s="25">
        <v>-2.9</v>
      </c>
      <c r="F103" s="24" t="s">
        <v>54</v>
      </c>
      <c r="G103" s="19"/>
      <c r="H103" s="19"/>
    </row>
    <row r="104" ht="22.5" customHeight="1">
      <c r="A104" s="22">
        <v>13.0</v>
      </c>
      <c r="B104" s="23">
        <v>46120.0</v>
      </c>
      <c r="C104" s="23">
        <v>46116.0</v>
      </c>
      <c r="D104" s="24" t="s">
        <v>131</v>
      </c>
      <c r="E104" s="25">
        <v>-45.7</v>
      </c>
      <c r="F104" s="24" t="s">
        <v>54</v>
      </c>
      <c r="G104" s="19"/>
      <c r="H104" s="19"/>
    </row>
    <row r="105" ht="22.5" customHeight="1">
      <c r="A105" s="22">
        <v>13.0</v>
      </c>
      <c r="B105" s="23">
        <v>46120.0</v>
      </c>
      <c r="C105" s="23">
        <v>46116.0</v>
      </c>
      <c r="D105" s="24" t="s">
        <v>126</v>
      </c>
      <c r="E105" s="25">
        <v>-5.0</v>
      </c>
      <c r="F105" s="24" t="s">
        <v>54</v>
      </c>
      <c r="G105" s="19"/>
      <c r="H105" s="19"/>
    </row>
    <row r="106" ht="22.5" customHeight="1">
      <c r="A106" s="22">
        <v>13.0</v>
      </c>
      <c r="B106" s="23">
        <v>46120.0</v>
      </c>
      <c r="C106" s="23">
        <v>46116.0</v>
      </c>
      <c r="D106" s="24" t="s">
        <v>132</v>
      </c>
      <c r="E106" s="25">
        <v>-15.9</v>
      </c>
      <c r="F106" s="24" t="s">
        <v>54</v>
      </c>
      <c r="G106" s="19"/>
      <c r="H106" s="19"/>
    </row>
    <row r="107" ht="22.5" customHeight="1">
      <c r="A107" s="22">
        <v>13.0</v>
      </c>
      <c r="B107" s="23">
        <v>46120.0</v>
      </c>
      <c r="C107" s="23">
        <v>46115.0</v>
      </c>
      <c r="D107" s="24" t="s">
        <v>133</v>
      </c>
      <c r="E107" s="25">
        <v>-3.0</v>
      </c>
      <c r="F107" s="24" t="s">
        <v>54</v>
      </c>
      <c r="G107" s="19"/>
      <c r="H107" s="19"/>
    </row>
    <row r="108" ht="22.5" customHeight="1">
      <c r="A108" s="22">
        <v>13.0</v>
      </c>
      <c r="B108" s="23">
        <v>46120.0</v>
      </c>
      <c r="C108" s="23">
        <v>46114.0</v>
      </c>
      <c r="D108" s="24" t="s">
        <v>134</v>
      </c>
      <c r="E108" s="25">
        <v>-43.44</v>
      </c>
      <c r="F108" s="24" t="s">
        <v>54</v>
      </c>
      <c r="G108" s="19"/>
      <c r="H108" s="19"/>
    </row>
    <row r="109" ht="22.5" customHeight="1">
      <c r="A109" s="22">
        <v>13.0</v>
      </c>
      <c r="B109" s="23">
        <v>46120.0</v>
      </c>
      <c r="C109" s="23">
        <v>46115.0</v>
      </c>
      <c r="D109" s="24" t="s">
        <v>135</v>
      </c>
      <c r="E109" s="25">
        <v>-84.33</v>
      </c>
      <c r="F109" s="24" t="s">
        <v>54</v>
      </c>
      <c r="G109" s="19"/>
      <c r="H109" s="19"/>
    </row>
    <row r="110" ht="22.5" customHeight="1">
      <c r="A110" s="22">
        <v>13.0</v>
      </c>
      <c r="B110" s="23">
        <v>46120.0</v>
      </c>
      <c r="C110" s="23">
        <v>46116.0</v>
      </c>
      <c r="D110" s="24" t="s">
        <v>130</v>
      </c>
      <c r="E110" s="25">
        <v>-2.9</v>
      </c>
      <c r="F110" s="24" t="s">
        <v>54</v>
      </c>
      <c r="G110" s="19"/>
      <c r="H110" s="19"/>
    </row>
    <row r="111" ht="22.5" customHeight="1">
      <c r="A111" s="22">
        <v>13.0</v>
      </c>
      <c r="B111" s="23">
        <v>46120.0</v>
      </c>
      <c r="C111" s="23">
        <v>46115.0</v>
      </c>
      <c r="D111" s="24" t="s">
        <v>136</v>
      </c>
      <c r="E111" s="25">
        <v>-36.9</v>
      </c>
      <c r="F111" s="24" t="s">
        <v>54</v>
      </c>
      <c r="G111" s="19"/>
      <c r="H111" s="19"/>
    </row>
    <row r="112" ht="22.5" customHeight="1">
      <c r="A112" s="22">
        <v>13.0</v>
      </c>
      <c r="B112" s="23">
        <v>46120.0</v>
      </c>
      <c r="C112" s="23">
        <v>46115.0</v>
      </c>
      <c r="D112" s="24" t="s">
        <v>137</v>
      </c>
      <c r="E112" s="25">
        <v>-3.0</v>
      </c>
      <c r="F112" s="24" t="s">
        <v>54</v>
      </c>
      <c r="G112" s="19"/>
      <c r="H112" s="19"/>
    </row>
    <row r="113" ht="22.5" customHeight="1">
      <c r="A113" s="22">
        <v>13.0</v>
      </c>
      <c r="B113" s="23">
        <v>46120.0</v>
      </c>
      <c r="C113" s="23">
        <v>46115.0</v>
      </c>
      <c r="D113" s="24" t="s">
        <v>131</v>
      </c>
      <c r="E113" s="25">
        <v>-9.0</v>
      </c>
      <c r="F113" s="24" t="s">
        <v>54</v>
      </c>
      <c r="G113" s="19"/>
      <c r="H113" s="19"/>
    </row>
    <row r="114" ht="22.5" customHeight="1">
      <c r="A114" s="22">
        <v>13.0</v>
      </c>
      <c r="B114" s="23">
        <v>46120.0</v>
      </c>
      <c r="C114" s="23">
        <v>46114.0</v>
      </c>
      <c r="D114" s="24" t="s">
        <v>134</v>
      </c>
      <c r="E114" s="25">
        <v>-10.02</v>
      </c>
      <c r="F114" s="24" t="s">
        <v>54</v>
      </c>
      <c r="G114" s="19"/>
      <c r="H114" s="19"/>
    </row>
    <row r="115" ht="22.5" customHeight="1">
      <c r="A115" s="22">
        <v>13.0</v>
      </c>
      <c r="B115" s="23">
        <v>46120.0</v>
      </c>
      <c r="C115" s="23">
        <v>46116.0</v>
      </c>
      <c r="D115" s="24" t="s">
        <v>130</v>
      </c>
      <c r="E115" s="25">
        <v>-2.9</v>
      </c>
      <c r="F115" s="24" t="s">
        <v>54</v>
      </c>
      <c r="G115" s="19"/>
      <c r="H115" s="19"/>
    </row>
    <row r="116" ht="22.5" customHeight="1">
      <c r="A116" s="22">
        <v>13.0</v>
      </c>
      <c r="B116" s="23">
        <v>46120.0</v>
      </c>
      <c r="C116" s="23">
        <v>46115.0</v>
      </c>
      <c r="D116" s="24" t="s">
        <v>138</v>
      </c>
      <c r="E116" s="25">
        <v>-41.15</v>
      </c>
      <c r="F116" s="24" t="s">
        <v>54</v>
      </c>
      <c r="G116" s="19"/>
      <c r="H116" s="19"/>
    </row>
    <row r="117" ht="22.5" customHeight="1">
      <c r="A117" s="22">
        <v>13.0</v>
      </c>
      <c r="B117" s="23">
        <v>46120.0</v>
      </c>
      <c r="C117" s="23">
        <v>46114.0</v>
      </c>
      <c r="D117" s="24" t="s">
        <v>139</v>
      </c>
      <c r="E117" s="25">
        <v>-26.0</v>
      </c>
      <c r="F117" s="24" t="s">
        <v>54</v>
      </c>
      <c r="G117" s="19"/>
      <c r="H117" s="19"/>
    </row>
    <row r="118" ht="22.5" customHeight="1">
      <c r="A118" s="22">
        <v>13.0</v>
      </c>
      <c r="B118" s="23">
        <v>46120.0</v>
      </c>
      <c r="C118" s="23">
        <v>46120.0</v>
      </c>
      <c r="D118" s="24" t="s">
        <v>99</v>
      </c>
      <c r="E118" s="25">
        <v>-5.2</v>
      </c>
      <c r="F118" s="24" t="s">
        <v>43</v>
      </c>
      <c r="G118" s="19"/>
      <c r="H118" s="19"/>
    </row>
    <row r="119" ht="22.5" customHeight="1">
      <c r="A119" s="22">
        <v>13.0</v>
      </c>
      <c r="B119" s="23">
        <v>46119.0</v>
      </c>
      <c r="C119" s="23">
        <v>46119.0</v>
      </c>
      <c r="D119" s="24" t="s">
        <v>37</v>
      </c>
      <c r="E119" s="25">
        <v>-10.9</v>
      </c>
      <c r="F119" s="24" t="s">
        <v>38</v>
      </c>
      <c r="G119" s="19"/>
      <c r="H119" s="19"/>
    </row>
    <row r="120" ht="22.5" customHeight="1">
      <c r="A120" s="22">
        <v>13.0</v>
      </c>
      <c r="B120" s="23">
        <v>46119.0</v>
      </c>
      <c r="C120" s="23">
        <v>46119.0</v>
      </c>
      <c r="D120" s="24" t="s">
        <v>41</v>
      </c>
      <c r="E120" s="25">
        <v>-14.8</v>
      </c>
      <c r="F120" s="24" t="s">
        <v>40</v>
      </c>
      <c r="G120" s="19"/>
      <c r="H120" s="19"/>
    </row>
    <row r="121" ht="22.5" customHeight="1">
      <c r="A121" s="22">
        <v>13.0</v>
      </c>
      <c r="B121" s="23">
        <v>46119.0</v>
      </c>
      <c r="C121" s="23">
        <v>46119.0</v>
      </c>
      <c r="D121" s="24" t="s">
        <v>41</v>
      </c>
      <c r="E121" s="25">
        <v>-9.15</v>
      </c>
      <c r="F121" s="24" t="s">
        <v>40</v>
      </c>
      <c r="G121" s="19"/>
      <c r="H121" s="19"/>
    </row>
    <row r="122" ht="22.5" customHeight="1">
      <c r="A122" s="51">
        <v>12.0</v>
      </c>
      <c r="B122" s="52">
        <v>46113.0</v>
      </c>
      <c r="C122" s="52">
        <v>46111.0</v>
      </c>
      <c r="D122" s="53" t="s">
        <v>140</v>
      </c>
      <c r="E122" s="54">
        <v>-8.39</v>
      </c>
      <c r="F122" s="53" t="s">
        <v>54</v>
      </c>
      <c r="G122" s="19"/>
      <c r="H122" s="19"/>
    </row>
    <row r="123" ht="22.5" customHeight="1">
      <c r="A123" s="51">
        <v>12.0</v>
      </c>
      <c r="B123" s="52">
        <v>46113.0</v>
      </c>
      <c r="C123" s="52">
        <v>46111.0</v>
      </c>
      <c r="D123" s="53" t="s">
        <v>134</v>
      </c>
      <c r="E123" s="54">
        <v>-6.18</v>
      </c>
      <c r="F123" s="53" t="s">
        <v>54</v>
      </c>
      <c r="G123" s="19"/>
      <c r="H123" s="19"/>
    </row>
    <row r="124" ht="22.5" customHeight="1">
      <c r="A124" s="51">
        <v>12.0</v>
      </c>
      <c r="B124" s="52">
        <v>46113.0</v>
      </c>
      <c r="C124" s="52">
        <v>46111.0</v>
      </c>
      <c r="D124" s="53" t="s">
        <v>141</v>
      </c>
      <c r="E124" s="54">
        <v>-9.42</v>
      </c>
      <c r="F124" s="49" t="s">
        <v>142</v>
      </c>
      <c r="G124" s="19"/>
      <c r="H124" s="19"/>
    </row>
    <row r="125" ht="22.5" customHeight="1">
      <c r="A125" s="51">
        <v>12.0</v>
      </c>
      <c r="B125" s="52">
        <v>46113.0</v>
      </c>
      <c r="C125" s="52">
        <v>46113.0</v>
      </c>
      <c r="D125" s="53" t="s">
        <v>143</v>
      </c>
      <c r="E125" s="54">
        <v>-122.58</v>
      </c>
      <c r="F125" s="53" t="s">
        <v>144</v>
      </c>
      <c r="G125" s="19"/>
      <c r="H125" s="19"/>
    </row>
    <row r="126" ht="22.5" customHeight="1">
      <c r="A126" s="55">
        <v>12.0</v>
      </c>
      <c r="B126" s="56">
        <v>46112.0</v>
      </c>
      <c r="C126" s="56">
        <v>46112.0</v>
      </c>
      <c r="D126" s="57" t="s">
        <v>145</v>
      </c>
      <c r="E126" s="50">
        <v>-233.03</v>
      </c>
      <c r="F126" s="58" t="s">
        <v>146</v>
      </c>
      <c r="G126" s="19"/>
      <c r="H126" s="19"/>
    </row>
    <row r="127" ht="22.5" customHeight="1">
      <c r="A127" s="51">
        <v>12.0</v>
      </c>
      <c r="B127" s="52">
        <v>46112.0</v>
      </c>
      <c r="C127" s="52">
        <v>46109.0</v>
      </c>
      <c r="D127" s="53" t="s">
        <v>147</v>
      </c>
      <c r="E127" s="54">
        <v>-3.0</v>
      </c>
      <c r="F127" s="53" t="s">
        <v>54</v>
      </c>
      <c r="G127" s="19"/>
      <c r="H127" s="19"/>
    </row>
    <row r="128" ht="22.5" customHeight="1">
      <c r="A128" s="51">
        <v>12.0</v>
      </c>
      <c r="B128" s="52">
        <v>46112.0</v>
      </c>
      <c r="C128" s="52">
        <v>46110.0</v>
      </c>
      <c r="D128" s="53" t="s">
        <v>135</v>
      </c>
      <c r="E128" s="54">
        <v>-3.2</v>
      </c>
      <c r="F128" s="53" t="s">
        <v>54</v>
      </c>
      <c r="G128" s="19"/>
      <c r="H128" s="19"/>
    </row>
    <row r="129" ht="22.5" customHeight="1">
      <c r="A129" s="51">
        <v>12.0</v>
      </c>
      <c r="B129" s="52">
        <v>46112.0</v>
      </c>
      <c r="C129" s="52">
        <v>46110.0</v>
      </c>
      <c r="D129" s="53" t="s">
        <v>148</v>
      </c>
      <c r="E129" s="54">
        <v>-35.39</v>
      </c>
      <c r="F129" s="53" t="s">
        <v>54</v>
      </c>
      <c r="G129" s="19"/>
      <c r="H129" s="19"/>
    </row>
    <row r="130" ht="22.5" customHeight="1">
      <c r="A130" s="51">
        <v>12.0</v>
      </c>
      <c r="B130" s="52">
        <v>46112.0</v>
      </c>
      <c r="C130" s="52">
        <v>46109.0</v>
      </c>
      <c r="D130" s="53" t="s">
        <v>149</v>
      </c>
      <c r="E130" s="54">
        <v>-17.9</v>
      </c>
      <c r="F130" s="53" t="s">
        <v>54</v>
      </c>
      <c r="G130" s="19"/>
      <c r="H130" s="19"/>
    </row>
    <row r="131" ht="22.5" customHeight="1">
      <c r="A131" s="51">
        <v>12.0</v>
      </c>
      <c r="B131" s="52">
        <v>46112.0</v>
      </c>
      <c r="C131" s="52">
        <v>46109.0</v>
      </c>
      <c r="D131" s="53" t="s">
        <v>150</v>
      </c>
      <c r="E131" s="54">
        <v>-70.08</v>
      </c>
      <c r="F131" s="53" t="s">
        <v>54</v>
      </c>
      <c r="G131" s="19"/>
      <c r="H131" s="19"/>
    </row>
    <row r="132" ht="22.5" customHeight="1">
      <c r="A132" s="51">
        <v>12.0</v>
      </c>
      <c r="B132" s="52">
        <v>46112.0</v>
      </c>
      <c r="C132" s="52">
        <v>46109.0</v>
      </c>
      <c r="D132" s="53" t="s">
        <v>131</v>
      </c>
      <c r="E132" s="54">
        <v>-55.5</v>
      </c>
      <c r="F132" s="53" t="s">
        <v>54</v>
      </c>
      <c r="G132" s="19"/>
      <c r="H132" s="19"/>
    </row>
    <row r="133" ht="22.5" customHeight="1">
      <c r="A133" s="51">
        <v>12.0</v>
      </c>
      <c r="B133" s="52">
        <v>46112.0</v>
      </c>
      <c r="C133" s="52">
        <v>46110.0</v>
      </c>
      <c r="D133" s="53" t="s">
        <v>151</v>
      </c>
      <c r="E133" s="54">
        <v>-77.42</v>
      </c>
      <c r="F133" s="49" t="s">
        <v>54</v>
      </c>
      <c r="G133" s="19"/>
      <c r="H133" s="19"/>
    </row>
    <row r="134" ht="22.5" customHeight="1">
      <c r="A134" s="51">
        <v>12.0</v>
      </c>
      <c r="B134" s="52">
        <v>46112.0</v>
      </c>
      <c r="C134" s="52">
        <v>46109.0</v>
      </c>
      <c r="D134" s="53" t="s">
        <v>152</v>
      </c>
      <c r="E134" s="54">
        <v>-208.58</v>
      </c>
      <c r="F134" s="53" t="s">
        <v>54</v>
      </c>
      <c r="G134" s="19"/>
      <c r="H134" s="19"/>
    </row>
    <row r="135" ht="22.5" customHeight="1">
      <c r="A135" s="51">
        <v>12.0</v>
      </c>
      <c r="B135" s="52">
        <v>46112.0</v>
      </c>
      <c r="C135" s="52">
        <v>46110.0</v>
      </c>
      <c r="D135" s="53" t="s">
        <v>136</v>
      </c>
      <c r="E135" s="54">
        <v>-16.5</v>
      </c>
      <c r="F135" s="53" t="s">
        <v>54</v>
      </c>
      <c r="G135" s="19"/>
      <c r="H135" s="19"/>
    </row>
    <row r="136" ht="22.5" customHeight="1">
      <c r="A136" s="51">
        <v>12.0</v>
      </c>
      <c r="B136" s="52">
        <v>46112.0</v>
      </c>
      <c r="C136" s="52">
        <v>46112.0</v>
      </c>
      <c r="D136" s="53" t="s">
        <v>153</v>
      </c>
      <c r="E136" s="54">
        <v>1988.2</v>
      </c>
      <c r="F136" s="53" t="s">
        <v>154</v>
      </c>
      <c r="G136" s="19"/>
      <c r="H136" s="19"/>
    </row>
    <row r="137" ht="22.5" customHeight="1">
      <c r="A137" s="51">
        <v>12.0</v>
      </c>
      <c r="B137" s="52">
        <v>46111.0</v>
      </c>
      <c r="C137" s="52">
        <v>46111.0</v>
      </c>
      <c r="D137" s="53" t="s">
        <v>155</v>
      </c>
      <c r="E137" s="54">
        <v>-792.16</v>
      </c>
      <c r="F137" s="53" t="s">
        <v>156</v>
      </c>
      <c r="G137" s="19"/>
      <c r="H137" s="19"/>
    </row>
    <row r="138" ht="22.5" customHeight="1">
      <c r="A138" s="51">
        <v>12.0</v>
      </c>
      <c r="B138" s="52">
        <v>46111.0</v>
      </c>
      <c r="C138" s="52">
        <v>46111.0</v>
      </c>
      <c r="D138" s="53" t="s">
        <v>157</v>
      </c>
      <c r="E138" s="54">
        <v>736.93</v>
      </c>
      <c r="F138" s="53" t="s">
        <v>154</v>
      </c>
      <c r="G138" s="19"/>
      <c r="H138" s="19"/>
    </row>
    <row r="139" ht="22.5" customHeight="1">
      <c r="A139" s="51">
        <v>12.0</v>
      </c>
      <c r="B139" s="52">
        <v>46111.0</v>
      </c>
      <c r="C139" s="52">
        <v>46111.0</v>
      </c>
      <c r="D139" s="53" t="s">
        <v>158</v>
      </c>
      <c r="E139" s="54">
        <v>30.0</v>
      </c>
      <c r="F139" s="53" t="s">
        <v>86</v>
      </c>
      <c r="G139" s="19"/>
      <c r="H139" s="19"/>
    </row>
    <row r="140" ht="22.5" customHeight="1">
      <c r="A140" s="51">
        <v>12.0</v>
      </c>
      <c r="B140" s="52">
        <v>46108.0</v>
      </c>
      <c r="C140" s="52">
        <v>46108.0</v>
      </c>
      <c r="D140" s="53" t="s">
        <v>48</v>
      </c>
      <c r="E140" s="54">
        <v>-52.47</v>
      </c>
      <c r="F140" s="53" t="s">
        <v>49</v>
      </c>
      <c r="G140" s="19"/>
      <c r="H140" s="19"/>
    </row>
    <row r="141" ht="22.5" customHeight="1">
      <c r="A141" s="51">
        <v>12.0</v>
      </c>
      <c r="B141" s="52">
        <v>46108.0</v>
      </c>
      <c r="C141" s="52">
        <v>46108.0</v>
      </c>
      <c r="D141" s="53" t="s">
        <v>41</v>
      </c>
      <c r="E141" s="54">
        <v>-21.7</v>
      </c>
      <c r="F141" s="53" t="s">
        <v>40</v>
      </c>
      <c r="G141" s="19"/>
      <c r="H141" s="19"/>
    </row>
    <row r="142" ht="22.5" customHeight="1">
      <c r="A142" s="51">
        <v>12.0</v>
      </c>
      <c r="B142" s="52">
        <v>46108.0</v>
      </c>
      <c r="C142" s="52">
        <v>46108.0</v>
      </c>
      <c r="D142" s="53" t="s">
        <v>37</v>
      </c>
      <c r="E142" s="54">
        <v>-4.59</v>
      </c>
      <c r="F142" s="53" t="s">
        <v>38</v>
      </c>
      <c r="G142" s="19"/>
      <c r="H142" s="19"/>
    </row>
    <row r="143" ht="22.5" customHeight="1">
      <c r="A143" s="51">
        <v>12.0</v>
      </c>
      <c r="B143" s="52">
        <v>46108.0</v>
      </c>
      <c r="C143" s="52">
        <v>46108.0</v>
      </c>
      <c r="D143" s="53" t="s">
        <v>44</v>
      </c>
      <c r="E143" s="54">
        <v>-15.0</v>
      </c>
      <c r="F143" s="53" t="s">
        <v>45</v>
      </c>
      <c r="G143" s="19"/>
      <c r="H143" s="19"/>
    </row>
    <row r="144" ht="22.5" customHeight="1">
      <c r="A144" s="51">
        <v>12.0</v>
      </c>
      <c r="B144" s="52">
        <v>46108.0</v>
      </c>
      <c r="C144" s="52">
        <v>46108.0</v>
      </c>
      <c r="D144" s="53" t="s">
        <v>159</v>
      </c>
      <c r="E144" s="54">
        <v>550.0</v>
      </c>
      <c r="F144" s="53" t="s">
        <v>40</v>
      </c>
      <c r="G144" s="19"/>
      <c r="H144" s="19"/>
    </row>
    <row r="145" ht="22.5" customHeight="1">
      <c r="A145" s="51">
        <v>12.0</v>
      </c>
      <c r="B145" s="52">
        <v>46107.0</v>
      </c>
      <c r="C145" s="52">
        <v>46107.0</v>
      </c>
      <c r="D145" s="53" t="s">
        <v>160</v>
      </c>
      <c r="E145" s="54">
        <v>-25.0</v>
      </c>
      <c r="F145" s="53" t="s">
        <v>66</v>
      </c>
      <c r="G145" s="19"/>
      <c r="H145" s="19"/>
    </row>
    <row r="146" ht="22.5" customHeight="1">
      <c r="A146" s="51">
        <v>12.0</v>
      </c>
      <c r="B146" s="52">
        <v>46107.0</v>
      </c>
      <c r="C146" s="52">
        <v>46107.0</v>
      </c>
      <c r="D146" s="53" t="s">
        <v>161</v>
      </c>
      <c r="E146" s="54">
        <v>-5.0</v>
      </c>
      <c r="F146" s="53" t="s">
        <v>43</v>
      </c>
      <c r="G146" s="19"/>
      <c r="H146" s="19"/>
    </row>
    <row r="147" ht="22.5" customHeight="1">
      <c r="A147" s="51">
        <v>12.0</v>
      </c>
      <c r="B147" s="52">
        <v>46107.0</v>
      </c>
      <c r="C147" s="52">
        <v>46107.0</v>
      </c>
      <c r="D147" s="53" t="s">
        <v>162</v>
      </c>
      <c r="E147" s="54">
        <v>-30.85</v>
      </c>
      <c r="F147" s="53" t="s">
        <v>43</v>
      </c>
      <c r="G147" s="19"/>
      <c r="H147" s="19"/>
    </row>
    <row r="148" ht="22.5" customHeight="1">
      <c r="A148" s="51">
        <v>12.0</v>
      </c>
      <c r="B148" s="52">
        <v>46107.0</v>
      </c>
      <c r="C148" s="52">
        <v>46107.0</v>
      </c>
      <c r="D148" s="53" t="s">
        <v>163</v>
      </c>
      <c r="E148" s="54">
        <v>917.7</v>
      </c>
      <c r="F148" s="49" t="s">
        <v>164</v>
      </c>
      <c r="G148" s="19"/>
      <c r="H148" s="19"/>
    </row>
    <row r="149" ht="22.5" customHeight="1">
      <c r="A149" s="51">
        <v>12.0</v>
      </c>
      <c r="B149" s="52">
        <v>46107.0</v>
      </c>
      <c r="C149" s="52">
        <v>46107.0</v>
      </c>
      <c r="D149" s="53" t="s">
        <v>96</v>
      </c>
      <c r="E149" s="54">
        <v>-2.06</v>
      </c>
      <c r="F149" s="53" t="s">
        <v>66</v>
      </c>
      <c r="G149" s="19"/>
      <c r="H149" s="19"/>
    </row>
    <row r="150" ht="22.5" customHeight="1">
      <c r="A150" s="51">
        <v>12.0</v>
      </c>
      <c r="B150" s="52">
        <v>46107.0</v>
      </c>
      <c r="C150" s="52">
        <v>46107.0</v>
      </c>
      <c r="D150" s="53" t="s">
        <v>60</v>
      </c>
      <c r="E150" s="54">
        <v>-0.85</v>
      </c>
      <c r="F150" s="53" t="s">
        <v>43</v>
      </c>
      <c r="G150" s="19"/>
      <c r="H150" s="19"/>
    </row>
    <row r="151" ht="22.5" customHeight="1">
      <c r="A151" s="51">
        <v>12.0</v>
      </c>
      <c r="B151" s="52">
        <v>46107.0</v>
      </c>
      <c r="C151" s="52">
        <v>46107.0</v>
      </c>
      <c r="D151" s="53" t="s">
        <v>165</v>
      </c>
      <c r="E151" s="54">
        <v>-175.0</v>
      </c>
      <c r="F151" s="53" t="s">
        <v>166</v>
      </c>
      <c r="G151" s="19"/>
      <c r="H151" s="19"/>
    </row>
    <row r="152" ht="22.5" customHeight="1">
      <c r="A152" s="59">
        <v>12.0</v>
      </c>
      <c r="B152" s="60">
        <v>46107.0</v>
      </c>
      <c r="C152" s="60">
        <v>46109.0</v>
      </c>
      <c r="D152" s="61" t="s">
        <v>167</v>
      </c>
      <c r="E152" s="62">
        <v>-4.99</v>
      </c>
      <c r="F152" s="63" t="s">
        <v>168</v>
      </c>
      <c r="G152" s="19"/>
      <c r="H152" s="19"/>
    </row>
    <row r="153" ht="22.5" customHeight="1">
      <c r="A153" s="59">
        <v>12.0</v>
      </c>
      <c r="B153" s="60">
        <v>46106.0</v>
      </c>
      <c r="C153" s="60">
        <v>46106.0</v>
      </c>
      <c r="D153" s="61" t="s">
        <v>118</v>
      </c>
      <c r="E153" s="62">
        <v>-79.68</v>
      </c>
      <c r="F153" s="63" t="s">
        <v>38</v>
      </c>
      <c r="G153" s="19"/>
      <c r="H153" s="19"/>
    </row>
    <row r="154" ht="22.5" customHeight="1">
      <c r="A154" s="59">
        <v>12.0</v>
      </c>
      <c r="B154" s="60">
        <v>46106.0</v>
      </c>
      <c r="C154" s="60">
        <v>46106.0</v>
      </c>
      <c r="D154" s="61" t="s">
        <v>67</v>
      </c>
      <c r="E154" s="62">
        <v>-19.01</v>
      </c>
      <c r="F154" s="63" t="s">
        <v>68</v>
      </c>
      <c r="G154" s="19"/>
      <c r="H154" s="19"/>
    </row>
    <row r="155" ht="22.5" customHeight="1">
      <c r="A155" s="59">
        <v>12.0</v>
      </c>
      <c r="B155" s="60">
        <v>46106.0</v>
      </c>
      <c r="C155" s="60">
        <v>46106.0</v>
      </c>
      <c r="D155" s="61" t="s">
        <v>46</v>
      </c>
      <c r="E155" s="62">
        <v>-45.0</v>
      </c>
      <c r="F155" s="63" t="s">
        <v>47</v>
      </c>
      <c r="G155" s="19"/>
      <c r="H155" s="19"/>
    </row>
    <row r="156" ht="22.5" customHeight="1">
      <c r="A156" s="59">
        <v>12.0</v>
      </c>
      <c r="B156" s="60">
        <v>46106.0</v>
      </c>
      <c r="C156" s="60">
        <v>46106.0</v>
      </c>
      <c r="D156" s="61" t="s">
        <v>77</v>
      </c>
      <c r="E156" s="62">
        <v>-3.1</v>
      </c>
      <c r="F156" s="63" t="s">
        <v>43</v>
      </c>
      <c r="G156" s="19"/>
      <c r="H156" s="19"/>
    </row>
    <row r="157" ht="22.5" customHeight="1">
      <c r="A157" s="59">
        <v>12.0</v>
      </c>
      <c r="B157" s="60">
        <v>46106.0</v>
      </c>
      <c r="C157" s="60">
        <v>46106.0</v>
      </c>
      <c r="D157" s="61" t="s">
        <v>169</v>
      </c>
      <c r="E157" s="62">
        <v>-3.6</v>
      </c>
      <c r="F157" s="63" t="s">
        <v>43</v>
      </c>
      <c r="G157" s="19"/>
      <c r="H157" s="19"/>
    </row>
    <row r="158" ht="22.5" customHeight="1">
      <c r="A158" s="59">
        <v>12.0</v>
      </c>
      <c r="B158" s="60">
        <v>46106.0</v>
      </c>
      <c r="C158" s="60">
        <v>46106.0</v>
      </c>
      <c r="D158" s="61" t="s">
        <v>170</v>
      </c>
      <c r="E158" s="62">
        <v>-1.0</v>
      </c>
      <c r="F158" s="63" t="s">
        <v>38</v>
      </c>
      <c r="G158" s="19"/>
      <c r="H158" s="19"/>
    </row>
    <row r="159" ht="22.5" customHeight="1">
      <c r="A159" s="59">
        <v>12.0</v>
      </c>
      <c r="B159" s="60">
        <v>46106.0</v>
      </c>
      <c r="C159" s="60">
        <v>46106.0</v>
      </c>
      <c r="D159" s="61" t="s">
        <v>171</v>
      </c>
      <c r="E159" s="62">
        <v>-6.0</v>
      </c>
      <c r="F159" s="63" t="s">
        <v>93</v>
      </c>
      <c r="G159" s="19"/>
      <c r="H159" s="19"/>
    </row>
    <row r="160" ht="22.5" customHeight="1">
      <c r="A160" s="59">
        <v>12.0</v>
      </c>
      <c r="B160" s="60">
        <v>46106.0</v>
      </c>
      <c r="C160" s="60">
        <v>46106.0</v>
      </c>
      <c r="D160" s="61" t="s">
        <v>99</v>
      </c>
      <c r="E160" s="62">
        <v>-5.2</v>
      </c>
      <c r="F160" s="63" t="s">
        <v>43</v>
      </c>
      <c r="G160" s="19"/>
      <c r="H160" s="19"/>
    </row>
    <row r="161" ht="22.5" customHeight="1">
      <c r="A161" s="59">
        <v>12.0</v>
      </c>
      <c r="B161" s="60">
        <v>46106.0</v>
      </c>
      <c r="C161" s="60">
        <v>46106.0</v>
      </c>
      <c r="D161" s="61" t="s">
        <v>172</v>
      </c>
      <c r="E161" s="62">
        <v>-650.0</v>
      </c>
      <c r="F161" s="63" t="s">
        <v>173</v>
      </c>
      <c r="G161" s="19"/>
      <c r="H161" s="19"/>
    </row>
    <row r="162" ht="22.5" customHeight="1">
      <c r="A162" s="59">
        <v>12.0</v>
      </c>
      <c r="B162" s="60">
        <v>46105.0</v>
      </c>
      <c r="C162" s="60">
        <v>46105.0</v>
      </c>
      <c r="D162" s="61" t="s">
        <v>174</v>
      </c>
      <c r="E162" s="62">
        <v>-4.06</v>
      </c>
      <c r="F162" s="63" t="s">
        <v>43</v>
      </c>
      <c r="G162" s="19"/>
      <c r="H162" s="19"/>
    </row>
    <row r="163" ht="22.5" customHeight="1">
      <c r="A163" s="59">
        <v>12.0</v>
      </c>
      <c r="B163" s="60">
        <v>46105.0</v>
      </c>
      <c r="C163" s="60">
        <v>46105.0</v>
      </c>
      <c r="D163" s="61" t="s">
        <v>175</v>
      </c>
      <c r="E163" s="62">
        <v>-30.9</v>
      </c>
      <c r="F163" s="63" t="s">
        <v>93</v>
      </c>
      <c r="G163" s="19"/>
      <c r="H163" s="19"/>
    </row>
    <row r="164" ht="22.5" customHeight="1">
      <c r="A164" s="59">
        <v>12.0</v>
      </c>
      <c r="B164" s="60">
        <v>46105.0</v>
      </c>
      <c r="C164" s="60">
        <v>46105.0</v>
      </c>
      <c r="D164" s="61" t="s">
        <v>176</v>
      </c>
      <c r="E164" s="62">
        <v>-29.99</v>
      </c>
      <c r="F164" s="63" t="s">
        <v>93</v>
      </c>
      <c r="G164" s="19"/>
      <c r="H164" s="19"/>
    </row>
    <row r="165" ht="22.5" customHeight="1">
      <c r="A165" s="59">
        <v>12.0</v>
      </c>
      <c r="B165" s="60">
        <v>46105.0</v>
      </c>
      <c r="C165" s="60">
        <v>46105.0</v>
      </c>
      <c r="D165" s="61" t="s">
        <v>177</v>
      </c>
      <c r="E165" s="62">
        <v>-2.95</v>
      </c>
      <c r="F165" s="63" t="s">
        <v>43</v>
      </c>
      <c r="G165" s="19"/>
      <c r="H165" s="19"/>
    </row>
    <row r="166" ht="22.5" customHeight="1">
      <c r="A166" s="59">
        <v>12.0</v>
      </c>
      <c r="B166" s="60">
        <v>46105.0</v>
      </c>
      <c r="C166" s="60">
        <v>46105.0</v>
      </c>
      <c r="D166" s="61" t="s">
        <v>178</v>
      </c>
      <c r="E166" s="62">
        <v>-5.0</v>
      </c>
      <c r="F166" s="63" t="s">
        <v>43</v>
      </c>
      <c r="G166" s="19"/>
      <c r="H166" s="19"/>
    </row>
    <row r="167" ht="22.5" customHeight="1">
      <c r="A167" s="59">
        <v>12.0</v>
      </c>
      <c r="B167" s="60">
        <v>46104.0</v>
      </c>
      <c r="C167" s="60">
        <v>46104.0</v>
      </c>
      <c r="D167" s="61" t="s">
        <v>65</v>
      </c>
      <c r="E167" s="62">
        <v>-10.0</v>
      </c>
      <c r="F167" s="63" t="s">
        <v>66</v>
      </c>
      <c r="G167" s="19"/>
      <c r="H167" s="19"/>
    </row>
    <row r="168" ht="22.5" customHeight="1">
      <c r="A168" s="59">
        <v>12.0</v>
      </c>
      <c r="B168" s="60">
        <v>46104.0</v>
      </c>
      <c r="C168" s="60">
        <v>46104.0</v>
      </c>
      <c r="D168" s="61" t="s">
        <v>41</v>
      </c>
      <c r="E168" s="62">
        <v>-1.95</v>
      </c>
      <c r="F168" s="63" t="s">
        <v>40</v>
      </c>
      <c r="G168" s="19"/>
      <c r="H168" s="19"/>
    </row>
    <row r="169" ht="22.5" customHeight="1">
      <c r="A169" s="59">
        <v>12.0</v>
      </c>
      <c r="B169" s="60">
        <v>46104.0</v>
      </c>
      <c r="C169" s="60">
        <v>46104.0</v>
      </c>
      <c r="D169" s="61" t="s">
        <v>41</v>
      </c>
      <c r="E169" s="62">
        <v>-11.5</v>
      </c>
      <c r="F169" s="63" t="s">
        <v>40</v>
      </c>
      <c r="G169" s="19"/>
      <c r="H169" s="19"/>
    </row>
    <row r="170" ht="22.5" customHeight="1">
      <c r="A170" s="59">
        <v>12.0</v>
      </c>
      <c r="B170" s="60">
        <v>46104.0</v>
      </c>
      <c r="C170" s="60">
        <v>46104.0</v>
      </c>
      <c r="D170" s="61" t="s">
        <v>41</v>
      </c>
      <c r="E170" s="62">
        <v>-9.5</v>
      </c>
      <c r="F170" s="63" t="s">
        <v>40</v>
      </c>
      <c r="G170" s="19"/>
      <c r="H170" s="19"/>
    </row>
    <row r="171" ht="22.5" customHeight="1">
      <c r="A171" s="59">
        <v>12.0</v>
      </c>
      <c r="B171" s="60">
        <v>46104.0</v>
      </c>
      <c r="C171" s="60">
        <v>46104.0</v>
      </c>
      <c r="D171" s="61" t="s">
        <v>44</v>
      </c>
      <c r="E171" s="62">
        <v>-5.0</v>
      </c>
      <c r="F171" s="63" t="s">
        <v>45</v>
      </c>
      <c r="G171" s="64"/>
      <c r="H171" s="65"/>
      <c r="I171" s="19"/>
      <c r="J171" s="66"/>
      <c r="K171" s="66"/>
      <c r="L171" s="64"/>
      <c r="M171" s="65"/>
      <c r="N171" s="67"/>
      <c r="O171" s="30"/>
      <c r="P171" s="19"/>
    </row>
    <row r="172" ht="22.5" customHeight="1">
      <c r="A172" s="59">
        <v>12.0</v>
      </c>
      <c r="B172" s="60">
        <v>46104.0</v>
      </c>
      <c r="C172" s="60">
        <v>46105.0</v>
      </c>
      <c r="D172" s="61" t="s">
        <v>179</v>
      </c>
      <c r="E172" s="62">
        <v>-1.7</v>
      </c>
      <c r="F172" s="63" t="s">
        <v>72</v>
      </c>
      <c r="G172" s="64"/>
      <c r="H172" s="65"/>
      <c r="I172" s="19"/>
      <c r="J172" s="66"/>
      <c r="K172" s="66"/>
      <c r="L172" s="64"/>
      <c r="M172" s="65"/>
      <c r="N172" s="67"/>
      <c r="O172" s="30"/>
      <c r="P172" s="19"/>
    </row>
    <row r="173" ht="22.5" customHeight="1">
      <c r="A173" s="59">
        <v>12.0</v>
      </c>
      <c r="B173" s="60">
        <v>46103.0</v>
      </c>
      <c r="C173" s="60">
        <v>46103.0</v>
      </c>
      <c r="D173" s="61" t="s">
        <v>180</v>
      </c>
      <c r="E173" s="62">
        <v>-33.75</v>
      </c>
      <c r="F173" s="63" t="s">
        <v>43</v>
      </c>
      <c r="G173" s="64"/>
      <c r="H173" s="65"/>
      <c r="I173" s="19"/>
      <c r="J173" s="66"/>
      <c r="K173" s="66"/>
      <c r="L173" s="64"/>
      <c r="M173" s="65"/>
      <c r="N173" s="67"/>
      <c r="O173" s="30"/>
      <c r="P173" s="19"/>
    </row>
    <row r="174" ht="22.5" customHeight="1">
      <c r="A174" s="59">
        <v>12.0</v>
      </c>
      <c r="B174" s="60">
        <v>46102.0</v>
      </c>
      <c r="C174" s="60">
        <v>46102.0</v>
      </c>
      <c r="D174" s="61" t="s">
        <v>118</v>
      </c>
      <c r="E174" s="62">
        <v>-55.91</v>
      </c>
      <c r="F174" s="63" t="s">
        <v>38</v>
      </c>
      <c r="G174" s="64"/>
      <c r="H174" s="65"/>
      <c r="I174" s="19"/>
      <c r="J174" s="66"/>
      <c r="K174" s="66"/>
      <c r="L174" s="64"/>
      <c r="M174" s="65"/>
      <c r="N174" s="67"/>
      <c r="O174" s="30"/>
      <c r="P174" s="19"/>
    </row>
    <row r="175" ht="22.5" customHeight="1">
      <c r="A175" s="59">
        <v>12.0</v>
      </c>
      <c r="B175" s="60">
        <v>46102.0</v>
      </c>
      <c r="C175" s="60">
        <v>46102.0</v>
      </c>
      <c r="D175" s="61" t="s">
        <v>181</v>
      </c>
      <c r="E175" s="62">
        <v>-3.6</v>
      </c>
      <c r="F175" s="63" t="s">
        <v>43</v>
      </c>
      <c r="G175" s="64"/>
      <c r="H175" s="65"/>
      <c r="I175" s="19"/>
      <c r="J175" s="66"/>
      <c r="K175" s="66"/>
      <c r="L175" s="64"/>
      <c r="M175" s="65"/>
      <c r="N175" s="67"/>
      <c r="O175" s="30"/>
      <c r="P175" s="19"/>
    </row>
    <row r="176" ht="22.5" customHeight="1">
      <c r="A176" s="59">
        <v>12.0</v>
      </c>
      <c r="B176" s="60">
        <v>46102.0</v>
      </c>
      <c r="C176" s="60">
        <v>46102.0</v>
      </c>
      <c r="D176" s="61" t="s">
        <v>182</v>
      </c>
      <c r="E176" s="62">
        <v>-40.0</v>
      </c>
      <c r="F176" s="63" t="s">
        <v>183</v>
      </c>
      <c r="G176" s="64"/>
      <c r="H176" s="65"/>
      <c r="I176" s="19"/>
      <c r="J176" s="66"/>
      <c r="K176" s="66"/>
      <c r="L176" s="64"/>
      <c r="M176" s="65"/>
      <c r="N176" s="67"/>
      <c r="O176" s="30"/>
      <c r="P176" s="19"/>
    </row>
    <row r="177" ht="22.5" customHeight="1">
      <c r="A177" s="59">
        <v>12.0</v>
      </c>
      <c r="B177" s="60">
        <v>46102.0</v>
      </c>
      <c r="C177" s="60">
        <v>46102.0</v>
      </c>
      <c r="D177" s="61" t="s">
        <v>184</v>
      </c>
      <c r="E177" s="62">
        <v>-2.49</v>
      </c>
      <c r="F177" s="63" t="s">
        <v>43</v>
      </c>
      <c r="G177" s="64"/>
      <c r="H177" s="65"/>
      <c r="I177" s="19"/>
      <c r="J177" s="66"/>
      <c r="K177" s="66"/>
      <c r="L177" s="64"/>
      <c r="M177" s="65"/>
      <c r="N177" s="67"/>
      <c r="O177" s="30"/>
      <c r="P177" s="19"/>
    </row>
    <row r="178" ht="22.5" customHeight="1">
      <c r="A178" s="59">
        <v>12.0</v>
      </c>
      <c r="B178" s="60">
        <v>46102.0</v>
      </c>
      <c r="C178" s="60">
        <v>46102.0</v>
      </c>
      <c r="D178" s="61" t="s">
        <v>185</v>
      </c>
      <c r="E178" s="62">
        <v>-28.0</v>
      </c>
      <c r="F178" s="63" t="s">
        <v>43</v>
      </c>
      <c r="G178" s="64"/>
      <c r="H178" s="65"/>
      <c r="I178" s="19"/>
      <c r="J178" s="66"/>
      <c r="K178" s="66"/>
      <c r="L178" s="64"/>
      <c r="M178" s="65"/>
      <c r="N178" s="67"/>
      <c r="O178" s="30"/>
      <c r="P178" s="19"/>
    </row>
    <row r="179" ht="22.5" customHeight="1">
      <c r="A179" s="59">
        <v>12.0</v>
      </c>
      <c r="B179" s="60">
        <v>46101.0</v>
      </c>
      <c r="C179" s="60">
        <v>46101.0</v>
      </c>
      <c r="D179" s="61" t="s">
        <v>186</v>
      </c>
      <c r="E179" s="62">
        <v>-13.06</v>
      </c>
      <c r="F179" s="63" t="s">
        <v>40</v>
      </c>
      <c r="G179" s="64"/>
      <c r="H179" s="65"/>
      <c r="I179" s="19"/>
      <c r="J179" s="66"/>
      <c r="K179" s="66"/>
      <c r="L179" s="64"/>
      <c r="M179" s="65"/>
      <c r="N179" s="67"/>
      <c r="O179" s="30"/>
      <c r="P179" s="19"/>
    </row>
    <row r="180" ht="22.5" customHeight="1">
      <c r="A180" s="59">
        <v>12.0</v>
      </c>
      <c r="B180" s="60">
        <v>46101.0</v>
      </c>
      <c r="C180" s="60">
        <v>46101.0</v>
      </c>
      <c r="D180" s="61" t="s">
        <v>41</v>
      </c>
      <c r="E180" s="62">
        <v>-7.95</v>
      </c>
      <c r="F180" s="63" t="s">
        <v>40</v>
      </c>
      <c r="G180" s="64"/>
      <c r="H180" s="65"/>
      <c r="I180" s="19"/>
      <c r="J180" s="66"/>
      <c r="K180" s="66"/>
      <c r="L180" s="64"/>
      <c r="M180" s="65"/>
      <c r="N180" s="67"/>
      <c r="O180" s="30"/>
      <c r="P180" s="19"/>
    </row>
    <row r="181" ht="22.5" customHeight="1">
      <c r="A181" s="59">
        <v>12.0</v>
      </c>
      <c r="B181" s="60">
        <v>46101.0</v>
      </c>
      <c r="C181" s="60">
        <v>46101.0</v>
      </c>
      <c r="D181" s="61" t="s">
        <v>76</v>
      </c>
      <c r="E181" s="62">
        <v>-28.38</v>
      </c>
      <c r="F181" s="63" t="s">
        <v>38</v>
      </c>
      <c r="G181" s="64"/>
      <c r="H181" s="65"/>
      <c r="I181" s="19"/>
      <c r="J181" s="66"/>
      <c r="K181" s="66"/>
      <c r="L181" s="64"/>
      <c r="M181" s="65"/>
      <c r="N181" s="67"/>
      <c r="O181" s="30"/>
      <c r="P181" s="19"/>
    </row>
    <row r="182" ht="22.5" customHeight="1">
      <c r="A182" s="59">
        <v>12.0</v>
      </c>
      <c r="B182" s="60">
        <v>46101.0</v>
      </c>
      <c r="C182" s="60">
        <v>46099.0</v>
      </c>
      <c r="D182" s="61" t="s">
        <v>187</v>
      </c>
      <c r="E182" s="62">
        <v>-62.2</v>
      </c>
      <c r="F182" s="63" t="s">
        <v>188</v>
      </c>
      <c r="G182" s="64"/>
      <c r="H182" s="65"/>
      <c r="I182" s="19"/>
      <c r="J182" s="66"/>
      <c r="K182" s="66"/>
      <c r="L182" s="64"/>
      <c r="M182" s="65"/>
      <c r="N182" s="67"/>
      <c r="O182" s="30"/>
      <c r="P182" s="19"/>
    </row>
    <row r="183" ht="22.5" customHeight="1">
      <c r="A183" s="59">
        <v>12.0</v>
      </c>
      <c r="B183" s="60">
        <v>46101.0</v>
      </c>
      <c r="C183" s="60">
        <v>46101.0</v>
      </c>
      <c r="D183" s="61" t="s">
        <v>41</v>
      </c>
      <c r="E183" s="62">
        <v>-16.79</v>
      </c>
      <c r="F183" s="63" t="s">
        <v>40</v>
      </c>
      <c r="G183" s="64"/>
      <c r="H183" s="65"/>
      <c r="I183" s="19"/>
      <c r="J183" s="66"/>
      <c r="K183" s="66"/>
      <c r="L183" s="64"/>
      <c r="M183" s="65"/>
      <c r="N183" s="67"/>
      <c r="O183" s="30"/>
      <c r="P183" s="19"/>
    </row>
    <row r="184" ht="22.5" customHeight="1">
      <c r="A184" s="59">
        <v>12.0</v>
      </c>
      <c r="B184" s="60">
        <v>46101.0</v>
      </c>
      <c r="C184" s="60">
        <v>46101.0</v>
      </c>
      <c r="D184" s="61" t="s">
        <v>44</v>
      </c>
      <c r="E184" s="62">
        <v>-15.0</v>
      </c>
      <c r="F184" s="63" t="s">
        <v>45</v>
      </c>
      <c r="G184" s="64"/>
      <c r="H184" s="65"/>
      <c r="I184" s="19"/>
      <c r="J184" s="66"/>
      <c r="K184" s="66"/>
      <c r="L184" s="64"/>
      <c r="M184" s="65"/>
      <c r="N184" s="67"/>
      <c r="O184" s="30"/>
      <c r="P184" s="19"/>
    </row>
    <row r="185" ht="22.5" customHeight="1">
      <c r="A185" s="59">
        <v>12.0</v>
      </c>
      <c r="B185" s="60">
        <v>46101.0</v>
      </c>
      <c r="C185" s="60">
        <v>46104.0</v>
      </c>
      <c r="D185" s="61" t="s">
        <v>167</v>
      </c>
      <c r="E185" s="62">
        <v>-33.98</v>
      </c>
      <c r="F185" s="63" t="s">
        <v>168</v>
      </c>
      <c r="G185" s="64"/>
      <c r="H185" s="65"/>
      <c r="I185" s="19"/>
      <c r="J185" s="66"/>
      <c r="K185" s="66"/>
      <c r="L185" s="64"/>
      <c r="M185" s="65"/>
      <c r="N185" s="67"/>
      <c r="O185" s="30"/>
      <c r="P185" s="19"/>
    </row>
    <row r="186" ht="22.5" customHeight="1">
      <c r="A186" s="59">
        <v>12.0</v>
      </c>
      <c r="B186" s="60">
        <v>46101.0</v>
      </c>
      <c r="C186" s="60">
        <v>46104.0</v>
      </c>
      <c r="D186" s="61" t="s">
        <v>167</v>
      </c>
      <c r="E186" s="62">
        <v>-327.46</v>
      </c>
      <c r="F186" s="63" t="s">
        <v>168</v>
      </c>
      <c r="G186" s="64"/>
      <c r="H186" s="65"/>
      <c r="I186" s="19"/>
      <c r="J186" s="66"/>
      <c r="K186" s="66"/>
      <c r="L186" s="64"/>
      <c r="M186" s="65"/>
      <c r="N186" s="67"/>
      <c r="O186" s="30"/>
      <c r="P186" s="19"/>
    </row>
    <row r="187" ht="22.5" customHeight="1">
      <c r="A187" s="59">
        <v>12.0</v>
      </c>
      <c r="B187" s="60">
        <v>46101.0</v>
      </c>
      <c r="C187" s="60">
        <v>46101.0</v>
      </c>
      <c r="D187" s="61" t="s">
        <v>189</v>
      </c>
      <c r="E187" s="62">
        <v>-28.93</v>
      </c>
      <c r="F187" s="63" t="s">
        <v>190</v>
      </c>
      <c r="G187" s="64"/>
      <c r="H187" s="65"/>
      <c r="I187" s="19"/>
      <c r="J187" s="66"/>
      <c r="K187" s="66"/>
      <c r="L187" s="64"/>
      <c r="M187" s="65"/>
      <c r="N187" s="67"/>
      <c r="O187" s="30"/>
      <c r="P187" s="19"/>
    </row>
    <row r="188" ht="22.5" customHeight="1">
      <c r="A188" s="59">
        <v>12.0</v>
      </c>
      <c r="B188" s="60">
        <v>46101.0</v>
      </c>
      <c r="C188" s="60">
        <v>46101.0</v>
      </c>
      <c r="D188" s="61" t="s">
        <v>191</v>
      </c>
      <c r="E188" s="62">
        <v>100.0</v>
      </c>
      <c r="F188" s="63" t="s">
        <v>192</v>
      </c>
      <c r="G188" s="64"/>
      <c r="H188" s="65"/>
      <c r="I188" s="19"/>
      <c r="J188" s="66"/>
      <c r="K188" s="66"/>
      <c r="L188" s="64"/>
      <c r="M188" s="65"/>
      <c r="N188" s="67"/>
      <c r="O188" s="30"/>
      <c r="P188" s="19"/>
    </row>
    <row r="189" ht="22.5" customHeight="1">
      <c r="A189" s="59">
        <v>12.0</v>
      </c>
      <c r="B189" s="60">
        <v>46101.0</v>
      </c>
      <c r="C189" s="60">
        <v>46103.0</v>
      </c>
      <c r="D189" s="61" t="s">
        <v>193</v>
      </c>
      <c r="E189" s="62">
        <v>-17.81</v>
      </c>
      <c r="F189" s="63" t="s">
        <v>43</v>
      </c>
      <c r="G189" s="64"/>
      <c r="H189" s="65"/>
      <c r="I189" s="19"/>
      <c r="J189" s="66"/>
      <c r="K189" s="66"/>
      <c r="L189" s="64"/>
      <c r="M189" s="65"/>
      <c r="N189" s="67"/>
      <c r="O189" s="30"/>
      <c r="P189" s="19"/>
    </row>
    <row r="190" ht="22.5" customHeight="1">
      <c r="A190" s="55">
        <v>12.0</v>
      </c>
      <c r="B190" s="56">
        <v>46111.0</v>
      </c>
      <c r="C190" s="56">
        <v>46111.0</v>
      </c>
      <c r="D190" s="57" t="s">
        <v>167</v>
      </c>
      <c r="E190" s="68">
        <v>-8.07</v>
      </c>
      <c r="F190" s="58" t="s">
        <v>168</v>
      </c>
      <c r="G190" s="64"/>
      <c r="H190" s="65"/>
      <c r="I190" s="19"/>
      <c r="J190" s="66"/>
      <c r="K190" s="66"/>
      <c r="L190" s="64"/>
      <c r="M190" s="65"/>
      <c r="N190" s="67"/>
      <c r="O190" s="30"/>
      <c r="P190" s="19"/>
    </row>
    <row r="191" ht="22.5" customHeight="1">
      <c r="A191" s="55">
        <v>12.0</v>
      </c>
      <c r="B191" s="56">
        <v>46107.0</v>
      </c>
      <c r="C191" s="56">
        <v>46107.0</v>
      </c>
      <c r="D191" s="57" t="s">
        <v>167</v>
      </c>
      <c r="E191" s="68">
        <v>-4.99</v>
      </c>
      <c r="F191" s="58" t="s">
        <v>168</v>
      </c>
      <c r="G191" s="64"/>
      <c r="H191" s="65"/>
      <c r="I191" s="19"/>
      <c r="J191" s="66"/>
      <c r="K191" s="66"/>
      <c r="L191" s="64"/>
      <c r="M191" s="65"/>
      <c r="N191" s="67"/>
      <c r="O191" s="30"/>
      <c r="P191" s="19"/>
    </row>
    <row r="192" ht="22.5" customHeight="1">
      <c r="A192" s="55">
        <v>12.0</v>
      </c>
      <c r="B192" s="56">
        <v>46106.0</v>
      </c>
      <c r="C192" s="56">
        <v>46106.0</v>
      </c>
      <c r="D192" s="57" t="s">
        <v>172</v>
      </c>
      <c r="E192" s="68">
        <v>-650.0</v>
      </c>
      <c r="F192" s="58" t="s">
        <v>173</v>
      </c>
      <c r="G192" s="64"/>
      <c r="H192" s="65"/>
      <c r="I192" s="19"/>
      <c r="J192" s="66"/>
      <c r="K192" s="66"/>
      <c r="L192" s="64"/>
      <c r="M192" s="65"/>
      <c r="N192" s="67"/>
      <c r="O192" s="30"/>
      <c r="P192" s="19"/>
    </row>
    <row r="193" ht="22.5" customHeight="1">
      <c r="A193" s="59">
        <v>11.0</v>
      </c>
      <c r="B193" s="60">
        <v>46100.0</v>
      </c>
      <c r="C193" s="60">
        <v>46100.0</v>
      </c>
      <c r="D193" s="61" t="s">
        <v>194</v>
      </c>
      <c r="E193" s="62">
        <v>-16.96</v>
      </c>
      <c r="F193" s="63" t="s">
        <v>38</v>
      </c>
      <c r="G193" s="64"/>
      <c r="H193" s="65"/>
      <c r="I193" s="19"/>
      <c r="J193" s="66"/>
      <c r="K193" s="66"/>
      <c r="L193" s="64"/>
      <c r="M193" s="65"/>
      <c r="N193" s="67"/>
      <c r="O193" s="30"/>
      <c r="P193" s="19"/>
    </row>
    <row r="194" ht="22.5" customHeight="1">
      <c r="A194" s="59">
        <v>11.0</v>
      </c>
      <c r="B194" s="60">
        <v>46099.0</v>
      </c>
      <c r="C194" s="60">
        <v>46099.0</v>
      </c>
      <c r="D194" s="61" t="s">
        <v>37</v>
      </c>
      <c r="E194" s="62">
        <v>-9.44</v>
      </c>
      <c r="F194" s="63" t="s">
        <v>38</v>
      </c>
      <c r="G194" s="64"/>
      <c r="H194" s="65"/>
      <c r="I194" s="19"/>
      <c r="J194" s="66"/>
      <c r="K194" s="66"/>
      <c r="L194" s="64"/>
      <c r="M194" s="65"/>
      <c r="N194" s="67"/>
      <c r="O194" s="30"/>
      <c r="P194" s="19"/>
    </row>
    <row r="195" ht="22.5" customHeight="1">
      <c r="A195" s="59">
        <v>11.0</v>
      </c>
      <c r="B195" s="60">
        <v>46099.0</v>
      </c>
      <c r="C195" s="60">
        <v>46099.0</v>
      </c>
      <c r="D195" s="61" t="s">
        <v>96</v>
      </c>
      <c r="E195" s="62">
        <v>-0.05</v>
      </c>
      <c r="F195" s="63" t="s">
        <v>66</v>
      </c>
      <c r="G195" s="64"/>
      <c r="H195" s="65"/>
      <c r="I195" s="19"/>
      <c r="J195" s="66"/>
      <c r="K195" s="66"/>
      <c r="L195" s="64"/>
      <c r="M195" s="65"/>
      <c r="N195" s="67"/>
      <c r="O195" s="30"/>
      <c r="P195" s="19"/>
    </row>
    <row r="196" ht="22.5" customHeight="1">
      <c r="A196" s="59">
        <v>11.0</v>
      </c>
      <c r="B196" s="60">
        <v>46099.0</v>
      </c>
      <c r="C196" s="60">
        <v>46099.0</v>
      </c>
      <c r="D196" s="61" t="s">
        <v>96</v>
      </c>
      <c r="E196" s="62">
        <v>-0.93</v>
      </c>
      <c r="F196" s="63" t="s">
        <v>66</v>
      </c>
      <c r="G196" s="64"/>
      <c r="H196" s="65"/>
      <c r="I196" s="19"/>
      <c r="J196" s="66"/>
      <c r="K196" s="66"/>
      <c r="L196" s="64"/>
      <c r="M196" s="65"/>
      <c r="N196" s="67"/>
      <c r="O196" s="30"/>
      <c r="P196" s="19"/>
    </row>
    <row r="197" ht="22.5" customHeight="1">
      <c r="A197" s="59">
        <v>11.0</v>
      </c>
      <c r="B197" s="60">
        <v>46099.0</v>
      </c>
      <c r="C197" s="60">
        <v>46099.0</v>
      </c>
      <c r="D197" s="61" t="s">
        <v>195</v>
      </c>
      <c r="E197" s="62">
        <v>-4.93</v>
      </c>
      <c r="F197" s="63" t="s">
        <v>38</v>
      </c>
      <c r="G197" s="64"/>
      <c r="H197" s="65"/>
      <c r="I197" s="19"/>
      <c r="J197" s="66"/>
      <c r="K197" s="66"/>
      <c r="L197" s="64"/>
      <c r="M197" s="65"/>
      <c r="N197" s="67"/>
      <c r="O197" s="30"/>
      <c r="P197" s="19"/>
    </row>
    <row r="198" ht="22.5" customHeight="1">
      <c r="A198" s="59">
        <v>11.0</v>
      </c>
      <c r="B198" s="60">
        <v>46099.0</v>
      </c>
      <c r="C198" s="60">
        <v>46099.0</v>
      </c>
      <c r="D198" s="61" t="s">
        <v>196</v>
      </c>
      <c r="E198" s="62">
        <v>-49.69</v>
      </c>
      <c r="F198" s="63" t="s">
        <v>64</v>
      </c>
      <c r="G198" s="64"/>
      <c r="H198" s="65"/>
      <c r="I198" s="19"/>
      <c r="J198" s="66"/>
      <c r="K198" s="66"/>
      <c r="L198" s="64"/>
      <c r="M198" s="65"/>
      <c r="N198" s="67"/>
      <c r="O198" s="30"/>
      <c r="P198" s="19"/>
    </row>
    <row r="199" ht="22.5" customHeight="1">
      <c r="A199" s="59">
        <v>11.0</v>
      </c>
      <c r="B199" s="60">
        <v>46099.0</v>
      </c>
      <c r="C199" s="60">
        <v>46099.0</v>
      </c>
      <c r="D199" s="61" t="s">
        <v>99</v>
      </c>
      <c r="E199" s="62">
        <v>-5.2</v>
      </c>
      <c r="F199" s="63" t="s">
        <v>43</v>
      </c>
      <c r="G199" s="64"/>
      <c r="H199" s="65"/>
      <c r="I199" s="19"/>
      <c r="J199" s="66"/>
      <c r="K199" s="66"/>
      <c r="L199" s="64"/>
      <c r="M199" s="65"/>
      <c r="N199" s="67"/>
      <c r="O199" s="30"/>
      <c r="P199" s="19"/>
    </row>
    <row r="200" ht="22.5" customHeight="1">
      <c r="A200" s="59">
        <v>11.0</v>
      </c>
      <c r="B200" s="60">
        <v>46099.0</v>
      </c>
      <c r="C200" s="60">
        <v>46099.0</v>
      </c>
      <c r="D200" s="61" t="s">
        <v>197</v>
      </c>
      <c r="E200" s="62">
        <v>-600.0</v>
      </c>
      <c r="F200" s="63" t="s">
        <v>173</v>
      </c>
      <c r="G200" s="64"/>
      <c r="H200" s="65"/>
      <c r="I200" s="19"/>
      <c r="J200" s="66"/>
      <c r="K200" s="66"/>
      <c r="L200" s="64"/>
      <c r="M200" s="65"/>
      <c r="N200" s="67"/>
      <c r="O200" s="30"/>
      <c r="P200" s="19"/>
    </row>
    <row r="201" ht="22.5" customHeight="1">
      <c r="A201" s="59">
        <v>11.0</v>
      </c>
      <c r="B201" s="60">
        <v>46098.0</v>
      </c>
      <c r="C201" s="60">
        <v>46098.0</v>
      </c>
      <c r="D201" s="61" t="s">
        <v>122</v>
      </c>
      <c r="E201" s="62">
        <v>-11.0</v>
      </c>
      <c r="F201" s="63" t="s">
        <v>43</v>
      </c>
      <c r="G201" s="64"/>
      <c r="H201" s="65"/>
      <c r="I201" s="19"/>
      <c r="J201" s="66"/>
      <c r="K201" s="66"/>
      <c r="L201" s="64"/>
      <c r="M201" s="65"/>
      <c r="N201" s="67"/>
      <c r="O201" s="30"/>
      <c r="P201" s="19"/>
    </row>
    <row r="202" ht="22.5" customHeight="1">
      <c r="A202" s="59">
        <v>11.0</v>
      </c>
      <c r="B202" s="60">
        <v>46098.0</v>
      </c>
      <c r="C202" s="60">
        <v>46098.0</v>
      </c>
      <c r="D202" s="61" t="s">
        <v>198</v>
      </c>
      <c r="E202" s="62">
        <v>-30.17</v>
      </c>
      <c r="F202" s="63" t="s">
        <v>116</v>
      </c>
      <c r="G202" s="64"/>
      <c r="H202" s="65"/>
      <c r="I202" s="19"/>
      <c r="J202" s="66"/>
      <c r="K202" s="66"/>
      <c r="L202" s="64"/>
      <c r="M202" s="65"/>
      <c r="N202" s="67"/>
      <c r="O202" s="30"/>
      <c r="P202" s="19"/>
    </row>
    <row r="203" ht="22.5" customHeight="1">
      <c r="A203" s="59">
        <v>11.0</v>
      </c>
      <c r="B203" s="60">
        <v>46098.0</v>
      </c>
      <c r="C203" s="60">
        <v>46098.0</v>
      </c>
      <c r="D203" s="61" t="s">
        <v>199</v>
      </c>
      <c r="E203" s="62">
        <v>-74.92</v>
      </c>
      <c r="F203" s="63" t="s">
        <v>70</v>
      </c>
      <c r="G203" s="64"/>
      <c r="H203" s="65"/>
      <c r="I203" s="19"/>
      <c r="J203" s="66"/>
      <c r="K203" s="66"/>
      <c r="L203" s="64"/>
      <c r="M203" s="65"/>
      <c r="N203" s="67"/>
      <c r="O203" s="30"/>
      <c r="P203" s="19"/>
    </row>
    <row r="204" ht="22.5" customHeight="1">
      <c r="A204" s="59">
        <v>11.0</v>
      </c>
      <c r="B204" s="60">
        <v>46098.0</v>
      </c>
      <c r="C204" s="60">
        <v>46098.0</v>
      </c>
      <c r="D204" s="61" t="s">
        <v>200</v>
      </c>
      <c r="E204" s="62">
        <v>-3.29</v>
      </c>
      <c r="F204" s="63" t="s">
        <v>70</v>
      </c>
      <c r="G204" s="64"/>
      <c r="H204" s="65"/>
      <c r="I204" s="19"/>
      <c r="J204" s="66"/>
      <c r="K204" s="66"/>
      <c r="L204" s="64"/>
      <c r="M204" s="65"/>
      <c r="N204" s="67"/>
      <c r="O204" s="30"/>
      <c r="P204" s="19"/>
    </row>
    <row r="205" ht="22.5" customHeight="1">
      <c r="A205" s="59">
        <v>11.0</v>
      </c>
      <c r="B205" s="60">
        <v>46097.0</v>
      </c>
      <c r="C205" s="60">
        <v>46097.0</v>
      </c>
      <c r="D205" s="61" t="s">
        <v>37</v>
      </c>
      <c r="E205" s="62">
        <v>-1.49</v>
      </c>
      <c r="F205" s="63" t="s">
        <v>38</v>
      </c>
      <c r="G205" s="64"/>
      <c r="H205" s="65"/>
      <c r="I205" s="19"/>
      <c r="J205" s="66"/>
      <c r="K205" s="66"/>
      <c r="L205" s="64"/>
      <c r="M205" s="65"/>
      <c r="N205" s="67"/>
      <c r="O205" s="30"/>
      <c r="P205" s="19"/>
    </row>
    <row r="206" ht="22.5" customHeight="1">
      <c r="A206" s="59">
        <v>11.0</v>
      </c>
      <c r="B206" s="60">
        <v>46097.0</v>
      </c>
      <c r="C206" s="60">
        <v>46097.0</v>
      </c>
      <c r="D206" s="61" t="s">
        <v>37</v>
      </c>
      <c r="E206" s="62">
        <v>-21.57</v>
      </c>
      <c r="F206" s="63" t="s">
        <v>38</v>
      </c>
      <c r="G206" s="64"/>
      <c r="H206" s="65"/>
      <c r="I206" s="19"/>
      <c r="J206" s="66"/>
      <c r="K206" s="66"/>
      <c r="L206" s="64"/>
      <c r="M206" s="65"/>
      <c r="N206" s="67"/>
      <c r="O206" s="30"/>
      <c r="P206" s="19"/>
    </row>
    <row r="207" ht="22.5" customHeight="1">
      <c r="A207" s="59">
        <v>11.0</v>
      </c>
      <c r="B207" s="60">
        <v>46097.0</v>
      </c>
      <c r="C207" s="60">
        <v>46097.0</v>
      </c>
      <c r="D207" s="61" t="s">
        <v>201</v>
      </c>
      <c r="E207" s="62">
        <v>-2.42</v>
      </c>
      <c r="F207" s="63" t="s">
        <v>43</v>
      </c>
      <c r="G207" s="64"/>
      <c r="H207" s="65"/>
      <c r="I207" s="19"/>
      <c r="J207" s="66"/>
      <c r="K207" s="66"/>
      <c r="L207" s="64"/>
      <c r="M207" s="65"/>
      <c r="N207" s="67"/>
      <c r="O207" s="30"/>
      <c r="P207" s="19"/>
    </row>
    <row r="208" ht="22.5" customHeight="1">
      <c r="A208" s="59">
        <v>11.0</v>
      </c>
      <c r="B208" s="60">
        <v>46097.0</v>
      </c>
      <c r="C208" s="60">
        <v>46097.0</v>
      </c>
      <c r="D208" s="61" t="s">
        <v>125</v>
      </c>
      <c r="E208" s="62">
        <v>-3.25</v>
      </c>
      <c r="F208" s="63" t="s">
        <v>70</v>
      </c>
      <c r="G208" s="64"/>
      <c r="H208" s="65"/>
      <c r="I208" s="19"/>
      <c r="J208" s="66"/>
      <c r="K208" s="66"/>
      <c r="L208" s="64"/>
      <c r="M208" s="65"/>
      <c r="N208" s="67"/>
      <c r="O208" s="30"/>
      <c r="P208" s="19"/>
    </row>
    <row r="209" ht="22.5" customHeight="1">
      <c r="A209" s="59">
        <v>11.0</v>
      </c>
      <c r="B209" s="60">
        <v>46097.0</v>
      </c>
      <c r="C209" s="60">
        <v>46097.0</v>
      </c>
      <c r="D209" s="61" t="s">
        <v>37</v>
      </c>
      <c r="E209" s="62">
        <v>-0.75</v>
      </c>
      <c r="F209" s="63" t="s">
        <v>38</v>
      </c>
      <c r="G209" s="64"/>
      <c r="H209" s="65"/>
      <c r="I209" s="19"/>
      <c r="J209" s="66"/>
      <c r="K209" s="66"/>
      <c r="L209" s="64"/>
      <c r="M209" s="65"/>
      <c r="N209" s="67"/>
      <c r="O209" s="30"/>
      <c r="P209" s="19"/>
    </row>
    <row r="210" ht="22.5" customHeight="1">
      <c r="A210" s="59">
        <v>11.0</v>
      </c>
      <c r="B210" s="60">
        <v>46097.0</v>
      </c>
      <c r="C210" s="60">
        <v>46097.0</v>
      </c>
      <c r="D210" s="61" t="s">
        <v>37</v>
      </c>
      <c r="E210" s="62">
        <v>-29.26</v>
      </c>
      <c r="F210" s="63" t="s">
        <v>38</v>
      </c>
      <c r="G210" s="64"/>
      <c r="H210" s="65"/>
      <c r="I210" s="19"/>
      <c r="J210" s="66"/>
      <c r="K210" s="66"/>
      <c r="L210" s="64"/>
      <c r="M210" s="65"/>
      <c r="N210" s="67"/>
      <c r="O210" s="30"/>
      <c r="P210" s="19"/>
    </row>
    <row r="211" ht="22.5" customHeight="1">
      <c r="A211" s="59">
        <v>11.0</v>
      </c>
      <c r="B211" s="60">
        <v>46097.0</v>
      </c>
      <c r="C211" s="60">
        <v>46097.0</v>
      </c>
      <c r="D211" s="61" t="s">
        <v>44</v>
      </c>
      <c r="E211" s="62">
        <v>-25.0</v>
      </c>
      <c r="F211" s="63" t="s">
        <v>45</v>
      </c>
      <c r="G211" s="64"/>
      <c r="H211" s="65"/>
      <c r="I211" s="19"/>
      <c r="J211" s="66"/>
      <c r="K211" s="66"/>
      <c r="L211" s="64"/>
      <c r="M211" s="65"/>
      <c r="N211" s="67"/>
      <c r="O211" s="30"/>
      <c r="P211" s="19"/>
    </row>
    <row r="212" ht="22.5" customHeight="1">
      <c r="A212" s="59">
        <v>11.0</v>
      </c>
      <c r="B212" s="60">
        <v>46097.0</v>
      </c>
      <c r="C212" s="60">
        <v>46098.0</v>
      </c>
      <c r="D212" s="61" t="s">
        <v>202</v>
      </c>
      <c r="E212" s="62">
        <v>2.02</v>
      </c>
      <c r="F212" s="63" t="s">
        <v>72</v>
      </c>
      <c r="G212" s="64"/>
      <c r="H212" s="65"/>
      <c r="I212" s="19"/>
      <c r="J212" s="66"/>
      <c r="K212" s="66"/>
      <c r="L212" s="64"/>
      <c r="M212" s="65"/>
      <c r="N212" s="67"/>
      <c r="O212" s="30"/>
      <c r="P212" s="19"/>
    </row>
    <row r="213" ht="22.5" customHeight="1">
      <c r="A213" s="59">
        <v>11.0</v>
      </c>
      <c r="B213" s="60">
        <v>46097.0</v>
      </c>
      <c r="C213" s="60">
        <v>46098.0</v>
      </c>
      <c r="D213" s="61" t="s">
        <v>179</v>
      </c>
      <c r="E213" s="62">
        <v>-2.75</v>
      </c>
      <c r="F213" s="63" t="s">
        <v>72</v>
      </c>
      <c r="G213" s="64"/>
      <c r="H213" s="65"/>
      <c r="I213" s="19"/>
      <c r="J213" s="66"/>
      <c r="K213" s="66"/>
      <c r="L213" s="64"/>
      <c r="M213" s="65"/>
      <c r="N213" s="67"/>
      <c r="O213" s="30"/>
      <c r="P213" s="19"/>
    </row>
    <row r="214" ht="22.5" customHeight="1">
      <c r="A214" s="59">
        <v>11.0</v>
      </c>
      <c r="B214" s="60">
        <v>46096.0</v>
      </c>
      <c r="C214" s="60">
        <v>46096.0</v>
      </c>
      <c r="D214" s="61" t="s">
        <v>203</v>
      </c>
      <c r="E214" s="62">
        <v>-10.0</v>
      </c>
      <c r="F214" s="63" t="s">
        <v>72</v>
      </c>
      <c r="G214" s="64"/>
      <c r="H214" s="65"/>
      <c r="I214" s="19"/>
      <c r="J214" s="66"/>
      <c r="K214" s="66"/>
      <c r="L214" s="64"/>
      <c r="M214" s="65"/>
      <c r="N214" s="67"/>
      <c r="O214" s="30"/>
      <c r="P214" s="19"/>
    </row>
    <row r="215" ht="22.5" customHeight="1">
      <c r="A215" s="59">
        <v>11.0</v>
      </c>
      <c r="B215" s="60">
        <v>46095.0</v>
      </c>
      <c r="C215" s="60">
        <v>46095.0</v>
      </c>
      <c r="D215" s="61" t="s">
        <v>87</v>
      </c>
      <c r="E215" s="62">
        <v>-36.0</v>
      </c>
      <c r="F215" s="63" t="s">
        <v>43</v>
      </c>
      <c r="G215" s="64"/>
      <c r="H215" s="65"/>
      <c r="I215" s="19"/>
      <c r="J215" s="66"/>
      <c r="K215" s="66"/>
      <c r="L215" s="64"/>
      <c r="M215" s="65"/>
      <c r="N215" s="67"/>
      <c r="O215" s="30"/>
      <c r="P215" s="19"/>
    </row>
    <row r="216" ht="22.5" customHeight="1">
      <c r="A216" s="59">
        <v>11.0</v>
      </c>
      <c r="B216" s="60">
        <v>46095.0</v>
      </c>
      <c r="C216" s="60">
        <v>46095.0</v>
      </c>
      <c r="D216" s="61" t="s">
        <v>48</v>
      </c>
      <c r="E216" s="62">
        <v>-60.0</v>
      </c>
      <c r="F216" s="63" t="s">
        <v>49</v>
      </c>
      <c r="G216" s="64"/>
      <c r="H216" s="65"/>
      <c r="I216" s="19"/>
      <c r="J216" s="66"/>
      <c r="K216" s="66"/>
      <c r="L216" s="64"/>
      <c r="M216" s="65"/>
      <c r="N216" s="67"/>
      <c r="O216" s="30"/>
      <c r="P216" s="19"/>
    </row>
    <row r="217" ht="22.5" customHeight="1">
      <c r="A217" s="59">
        <v>11.0</v>
      </c>
      <c r="B217" s="60">
        <v>46094.0</v>
      </c>
      <c r="C217" s="60">
        <v>46094.0</v>
      </c>
      <c r="D217" s="61" t="s">
        <v>204</v>
      </c>
      <c r="E217" s="62">
        <v>-26.0</v>
      </c>
      <c r="F217" s="63" t="s">
        <v>93</v>
      </c>
      <c r="G217" s="64"/>
      <c r="H217" s="65"/>
      <c r="I217" s="19"/>
      <c r="J217" s="66"/>
      <c r="K217" s="66"/>
      <c r="L217" s="64"/>
      <c r="M217" s="65"/>
      <c r="N217" s="67"/>
      <c r="O217" s="30"/>
      <c r="P217" s="19"/>
    </row>
    <row r="218" ht="22.5" customHeight="1">
      <c r="A218" s="59">
        <v>11.0</v>
      </c>
      <c r="B218" s="60">
        <v>46094.0</v>
      </c>
      <c r="C218" s="60">
        <v>46094.0</v>
      </c>
      <c r="D218" s="61" t="s">
        <v>37</v>
      </c>
      <c r="E218" s="62">
        <v>-0.19</v>
      </c>
      <c r="F218" s="63" t="s">
        <v>38</v>
      </c>
      <c r="G218" s="64"/>
      <c r="H218" s="65"/>
      <c r="I218" s="19"/>
      <c r="J218" s="66"/>
      <c r="K218" s="66"/>
      <c r="L218" s="64"/>
      <c r="M218" s="65"/>
      <c r="N218" s="67"/>
      <c r="O218" s="30"/>
      <c r="P218" s="19"/>
    </row>
    <row r="219" ht="22.5" customHeight="1">
      <c r="A219" s="59">
        <v>11.0</v>
      </c>
      <c r="B219" s="60">
        <v>46094.0</v>
      </c>
      <c r="C219" s="60">
        <v>46094.0</v>
      </c>
      <c r="D219" s="61" t="s">
        <v>37</v>
      </c>
      <c r="E219" s="62">
        <v>-39.94</v>
      </c>
      <c r="F219" s="63" t="s">
        <v>38</v>
      </c>
      <c r="G219" s="64"/>
      <c r="H219" s="65"/>
      <c r="I219" s="19"/>
      <c r="J219" s="66"/>
      <c r="K219" s="66"/>
      <c r="L219" s="64"/>
      <c r="M219" s="65"/>
      <c r="N219" s="67"/>
      <c r="O219" s="30"/>
      <c r="P219" s="19"/>
    </row>
    <row r="220" ht="22.5" customHeight="1">
      <c r="A220" s="59">
        <v>11.0</v>
      </c>
      <c r="B220" s="60">
        <v>46094.0</v>
      </c>
      <c r="C220" s="60">
        <v>46094.0</v>
      </c>
      <c r="D220" s="61" t="s">
        <v>76</v>
      </c>
      <c r="E220" s="62">
        <v>-23.99</v>
      </c>
      <c r="F220" s="63" t="s">
        <v>38</v>
      </c>
      <c r="G220" s="64"/>
      <c r="H220" s="65"/>
      <c r="I220" s="19"/>
      <c r="J220" s="66"/>
      <c r="K220" s="66"/>
      <c r="L220" s="64"/>
      <c r="M220" s="65"/>
      <c r="N220" s="67"/>
      <c r="O220" s="30"/>
      <c r="P220" s="19"/>
    </row>
    <row r="221" ht="22.5" customHeight="1">
      <c r="A221" s="59">
        <v>11.0</v>
      </c>
      <c r="B221" s="60">
        <v>46094.0</v>
      </c>
      <c r="C221" s="60">
        <v>46094.0</v>
      </c>
      <c r="D221" s="61" t="s">
        <v>41</v>
      </c>
      <c r="E221" s="62">
        <v>-22.45</v>
      </c>
      <c r="F221" s="63" t="s">
        <v>40</v>
      </c>
      <c r="G221" s="64"/>
      <c r="H221" s="65"/>
      <c r="I221" s="19"/>
      <c r="J221" s="66"/>
      <c r="K221" s="66"/>
      <c r="L221" s="64"/>
      <c r="M221" s="65"/>
      <c r="N221" s="67"/>
      <c r="O221" s="30"/>
      <c r="P221" s="19"/>
    </row>
    <row r="222" ht="22.5" customHeight="1">
      <c r="A222" s="59">
        <v>11.0</v>
      </c>
      <c r="B222" s="60">
        <v>46094.0</v>
      </c>
      <c r="C222" s="60">
        <v>46094.0</v>
      </c>
      <c r="D222" s="61" t="s">
        <v>44</v>
      </c>
      <c r="E222" s="62">
        <v>-15.0</v>
      </c>
      <c r="F222" s="63" t="s">
        <v>45</v>
      </c>
      <c r="G222" s="64"/>
      <c r="H222" s="65"/>
      <c r="I222" s="19"/>
      <c r="J222" s="66"/>
      <c r="K222" s="66"/>
      <c r="L222" s="64"/>
      <c r="M222" s="65"/>
      <c r="N222" s="67"/>
      <c r="O222" s="30"/>
      <c r="P222" s="19"/>
    </row>
    <row r="223" ht="22.5" customHeight="1">
      <c r="A223" s="59">
        <v>11.0</v>
      </c>
      <c r="B223" s="60">
        <v>46094.0</v>
      </c>
      <c r="C223" s="60">
        <v>46094.0</v>
      </c>
      <c r="D223" s="61" t="s">
        <v>205</v>
      </c>
      <c r="E223" s="62">
        <v>18.0</v>
      </c>
      <c r="F223" s="63" t="s">
        <v>206</v>
      </c>
      <c r="G223" s="64"/>
      <c r="H223" s="65"/>
      <c r="I223" s="19"/>
      <c r="J223" s="66"/>
      <c r="K223" s="66"/>
      <c r="L223" s="64"/>
      <c r="M223" s="65"/>
      <c r="N223" s="67"/>
      <c r="O223" s="30"/>
      <c r="P223" s="19"/>
    </row>
    <row r="224" ht="22.5" customHeight="1">
      <c r="A224" s="59">
        <v>10.0</v>
      </c>
      <c r="B224" s="60">
        <v>46093.0</v>
      </c>
      <c r="C224" s="60">
        <v>46093.0</v>
      </c>
      <c r="D224" s="61" t="s">
        <v>207</v>
      </c>
      <c r="E224" s="62">
        <v>-4.98</v>
      </c>
      <c r="F224" s="63" t="s">
        <v>70</v>
      </c>
      <c r="G224" s="64"/>
      <c r="H224" s="65"/>
      <c r="I224" s="19"/>
      <c r="J224" s="66"/>
      <c r="K224" s="66"/>
      <c r="L224" s="64"/>
      <c r="M224" s="65"/>
      <c r="N224" s="67"/>
      <c r="O224" s="30"/>
      <c r="P224" s="19"/>
    </row>
    <row r="225" ht="22.5" customHeight="1">
      <c r="A225" s="59">
        <v>10.0</v>
      </c>
      <c r="B225" s="60">
        <v>46093.0</v>
      </c>
      <c r="C225" s="60">
        <v>46093.0</v>
      </c>
      <c r="D225" s="61" t="s">
        <v>208</v>
      </c>
      <c r="E225" s="62">
        <v>-34.0</v>
      </c>
      <c r="F225" s="63" t="s">
        <v>116</v>
      </c>
      <c r="G225" s="64"/>
      <c r="H225" s="65"/>
      <c r="I225" s="19"/>
      <c r="J225" s="66"/>
      <c r="K225" s="66"/>
      <c r="L225" s="64"/>
      <c r="M225" s="65"/>
      <c r="N225" s="67"/>
      <c r="O225" s="30"/>
      <c r="P225" s="19"/>
    </row>
    <row r="226" ht="22.5" customHeight="1">
      <c r="A226" s="59">
        <v>10.0</v>
      </c>
      <c r="B226" s="60">
        <v>46093.0</v>
      </c>
      <c r="C226" s="60">
        <v>46093.0</v>
      </c>
      <c r="D226" s="61" t="s">
        <v>209</v>
      </c>
      <c r="E226" s="62">
        <v>-26.45</v>
      </c>
      <c r="F226" s="63" t="s">
        <v>190</v>
      </c>
      <c r="G226" s="64"/>
      <c r="H226" s="65"/>
      <c r="I226" s="19"/>
      <c r="J226" s="66"/>
      <c r="K226" s="66"/>
      <c r="L226" s="64"/>
      <c r="M226" s="65"/>
      <c r="N226" s="67"/>
      <c r="O226" s="30"/>
      <c r="P226" s="19"/>
    </row>
    <row r="227" ht="22.5" customHeight="1">
      <c r="A227" s="59">
        <v>10.0</v>
      </c>
      <c r="B227" s="60">
        <v>46092.0</v>
      </c>
      <c r="C227" s="60">
        <v>46092.0</v>
      </c>
      <c r="D227" s="61" t="s">
        <v>210</v>
      </c>
      <c r="E227" s="62">
        <v>-15.3</v>
      </c>
      <c r="F227" s="63" t="s">
        <v>38</v>
      </c>
      <c r="G227" s="64"/>
      <c r="H227" s="65"/>
      <c r="I227" s="19"/>
      <c r="J227" s="66"/>
      <c r="K227" s="66"/>
      <c r="L227" s="64"/>
      <c r="M227" s="65"/>
      <c r="N227" s="67"/>
      <c r="O227" s="30"/>
      <c r="P227" s="19"/>
    </row>
    <row r="228" ht="22.5" customHeight="1">
      <c r="A228" s="59">
        <v>10.0</v>
      </c>
      <c r="B228" s="60">
        <v>46092.0</v>
      </c>
      <c r="C228" s="60">
        <v>46092.0</v>
      </c>
      <c r="D228" s="61" t="s">
        <v>211</v>
      </c>
      <c r="E228" s="62">
        <v>-34.62</v>
      </c>
      <c r="F228" s="63" t="s">
        <v>38</v>
      </c>
      <c r="G228" s="64"/>
      <c r="H228" s="65"/>
      <c r="I228" s="19"/>
      <c r="J228" s="66"/>
      <c r="K228" s="66"/>
      <c r="L228" s="64"/>
      <c r="M228" s="65"/>
      <c r="N228" s="67"/>
      <c r="O228" s="30"/>
      <c r="P228" s="19"/>
    </row>
    <row r="229" ht="22.5" customHeight="1">
      <c r="A229" s="59">
        <v>10.0</v>
      </c>
      <c r="B229" s="60">
        <v>46092.0</v>
      </c>
      <c r="C229" s="60">
        <v>46092.0</v>
      </c>
      <c r="D229" s="61" t="s">
        <v>99</v>
      </c>
      <c r="E229" s="62">
        <v>-5.2</v>
      </c>
      <c r="F229" s="63" t="s">
        <v>43</v>
      </c>
      <c r="G229" s="64"/>
      <c r="H229" s="65"/>
      <c r="I229" s="19"/>
      <c r="J229" s="66"/>
      <c r="K229" s="66"/>
      <c r="L229" s="64"/>
      <c r="M229" s="65"/>
      <c r="N229" s="67"/>
      <c r="O229" s="30"/>
      <c r="P229" s="19"/>
    </row>
    <row r="230" ht="22.5" customHeight="1">
      <c r="A230" s="59">
        <v>10.0</v>
      </c>
      <c r="B230" s="60">
        <v>46092.0</v>
      </c>
      <c r="C230" s="60">
        <v>46095.0</v>
      </c>
      <c r="D230" s="61" t="s">
        <v>212</v>
      </c>
      <c r="E230" s="62">
        <v>-0.99</v>
      </c>
      <c r="F230" s="63" t="s">
        <v>142</v>
      </c>
      <c r="G230" s="64"/>
      <c r="H230" s="65"/>
      <c r="I230" s="19"/>
      <c r="J230" s="66"/>
      <c r="K230" s="66"/>
      <c r="L230" s="64"/>
      <c r="M230" s="65"/>
      <c r="N230" s="67"/>
      <c r="O230" s="30"/>
      <c r="P230" s="19"/>
    </row>
    <row r="231" ht="22.5" customHeight="1">
      <c r="A231" s="59">
        <v>10.0</v>
      </c>
      <c r="B231" s="60">
        <v>46091.0</v>
      </c>
      <c r="C231" s="60">
        <v>46091.0</v>
      </c>
      <c r="D231" s="61" t="s">
        <v>39</v>
      </c>
      <c r="E231" s="62">
        <v>-15.9</v>
      </c>
      <c r="F231" s="63" t="s">
        <v>40</v>
      </c>
      <c r="G231" s="64"/>
      <c r="H231" s="65"/>
      <c r="I231" s="19"/>
      <c r="J231" s="66"/>
      <c r="K231" s="66"/>
      <c r="L231" s="64"/>
      <c r="M231" s="65"/>
      <c r="N231" s="67"/>
      <c r="O231" s="30"/>
      <c r="P231" s="19"/>
    </row>
    <row r="232" ht="22.5" customHeight="1">
      <c r="A232" s="59">
        <v>10.0</v>
      </c>
      <c r="B232" s="60">
        <v>46091.0</v>
      </c>
      <c r="C232" s="60">
        <v>46091.0</v>
      </c>
      <c r="D232" s="61" t="s">
        <v>41</v>
      </c>
      <c r="E232" s="62">
        <v>-9.5</v>
      </c>
      <c r="F232" s="63" t="s">
        <v>40</v>
      </c>
      <c r="G232" s="64"/>
      <c r="H232" s="65"/>
      <c r="I232" s="19"/>
      <c r="J232" s="66"/>
      <c r="K232" s="66"/>
      <c r="L232" s="64"/>
      <c r="M232" s="65"/>
      <c r="N232" s="67"/>
      <c r="O232" s="30"/>
      <c r="P232" s="19"/>
    </row>
    <row r="233" ht="22.5" customHeight="1">
      <c r="A233" s="59">
        <v>10.0</v>
      </c>
      <c r="B233" s="60">
        <v>46091.0</v>
      </c>
      <c r="C233" s="60">
        <v>46094.0</v>
      </c>
      <c r="D233" s="61" t="s">
        <v>213</v>
      </c>
      <c r="E233" s="62">
        <v>-1.95</v>
      </c>
      <c r="F233" s="63" t="s">
        <v>43</v>
      </c>
      <c r="G233" s="64"/>
      <c r="H233" s="65"/>
      <c r="I233" s="19"/>
      <c r="J233" s="66"/>
      <c r="K233" s="66"/>
      <c r="L233" s="64"/>
      <c r="M233" s="65"/>
      <c r="N233" s="67"/>
      <c r="O233" s="30"/>
      <c r="P233" s="19"/>
    </row>
    <row r="234" ht="22.5" customHeight="1">
      <c r="A234" s="59">
        <v>10.0</v>
      </c>
      <c r="B234" s="60">
        <v>46091.0</v>
      </c>
      <c r="C234" s="60">
        <v>46094.0</v>
      </c>
      <c r="D234" s="61" t="s">
        <v>214</v>
      </c>
      <c r="E234" s="62">
        <v>-2.99</v>
      </c>
      <c r="F234" s="63" t="s">
        <v>43</v>
      </c>
      <c r="G234" s="64"/>
      <c r="H234" s="65"/>
      <c r="I234" s="19"/>
      <c r="J234" s="66"/>
      <c r="K234" s="66"/>
      <c r="L234" s="64"/>
      <c r="M234" s="65"/>
      <c r="N234" s="67"/>
      <c r="O234" s="30"/>
      <c r="P234" s="19"/>
    </row>
    <row r="235" ht="22.5" customHeight="1">
      <c r="A235" s="59">
        <v>10.0</v>
      </c>
      <c r="B235" s="60">
        <v>46090.0</v>
      </c>
      <c r="C235" s="60">
        <v>46090.0</v>
      </c>
      <c r="D235" s="61" t="s">
        <v>41</v>
      </c>
      <c r="E235" s="62">
        <v>-5.05</v>
      </c>
      <c r="F235" s="63" t="s">
        <v>40</v>
      </c>
      <c r="G235" s="64"/>
      <c r="H235" s="65"/>
      <c r="I235" s="19"/>
      <c r="J235" s="66"/>
      <c r="K235" s="66"/>
      <c r="L235" s="64"/>
      <c r="M235" s="65"/>
      <c r="N235" s="67"/>
      <c r="O235" s="30"/>
      <c r="P235" s="19"/>
    </row>
    <row r="236" ht="22.5" customHeight="1">
      <c r="A236" s="59">
        <v>10.0</v>
      </c>
      <c r="B236" s="60">
        <v>46090.0</v>
      </c>
      <c r="C236" s="60">
        <v>46093.0</v>
      </c>
      <c r="D236" s="61" t="s">
        <v>193</v>
      </c>
      <c r="E236" s="62">
        <v>-20.34</v>
      </c>
      <c r="F236" s="63" t="s">
        <v>43</v>
      </c>
      <c r="G236" s="64"/>
      <c r="H236" s="65"/>
      <c r="I236" s="19"/>
      <c r="J236" s="66"/>
      <c r="K236" s="66"/>
      <c r="L236" s="64"/>
      <c r="M236" s="65"/>
      <c r="N236" s="67"/>
      <c r="O236" s="30"/>
      <c r="P236" s="19"/>
    </row>
    <row r="237" ht="22.5" customHeight="1">
      <c r="A237" s="59">
        <v>10.0</v>
      </c>
      <c r="B237" s="60">
        <v>46090.0</v>
      </c>
      <c r="C237" s="60">
        <v>46090.0</v>
      </c>
      <c r="D237" s="61" t="s">
        <v>215</v>
      </c>
      <c r="E237" s="62">
        <v>-17.6</v>
      </c>
      <c r="F237" s="63" t="s">
        <v>216</v>
      </c>
      <c r="G237" s="64"/>
      <c r="H237" s="65"/>
      <c r="I237" s="19"/>
      <c r="J237" s="66"/>
      <c r="K237" s="66"/>
      <c r="L237" s="64"/>
      <c r="M237" s="65"/>
      <c r="N237" s="67"/>
      <c r="O237" s="30"/>
      <c r="P237" s="19"/>
    </row>
    <row r="238" ht="22.5" customHeight="1">
      <c r="A238" s="59">
        <v>10.0</v>
      </c>
      <c r="B238" s="60">
        <v>46089.0</v>
      </c>
      <c r="C238" s="60">
        <v>46089.0</v>
      </c>
      <c r="D238" s="61" t="s">
        <v>217</v>
      </c>
      <c r="E238" s="62">
        <v>-41.6</v>
      </c>
      <c r="F238" s="63" t="s">
        <v>43</v>
      </c>
      <c r="G238" s="64"/>
      <c r="H238" s="65"/>
      <c r="I238" s="19"/>
      <c r="J238" s="66"/>
      <c r="K238" s="66"/>
      <c r="L238" s="64"/>
      <c r="M238" s="65"/>
      <c r="N238" s="67"/>
      <c r="O238" s="30"/>
      <c r="P238" s="19"/>
    </row>
    <row r="239" ht="22.5" customHeight="1">
      <c r="A239" s="59">
        <v>10.0</v>
      </c>
      <c r="B239" s="60">
        <v>46089.0</v>
      </c>
      <c r="C239" s="60">
        <v>46089.0</v>
      </c>
      <c r="D239" s="61" t="s">
        <v>44</v>
      </c>
      <c r="E239" s="62">
        <v>-5.0</v>
      </c>
      <c r="F239" s="63" t="s">
        <v>45</v>
      </c>
      <c r="G239" s="64"/>
      <c r="H239" s="65"/>
      <c r="I239" s="19"/>
      <c r="J239" s="66"/>
      <c r="K239" s="66"/>
      <c r="L239" s="64"/>
      <c r="M239" s="65"/>
      <c r="N239" s="67"/>
      <c r="O239" s="30"/>
      <c r="P239" s="19"/>
    </row>
    <row r="240" ht="22.5" customHeight="1">
      <c r="A240" s="59">
        <v>10.0</v>
      </c>
      <c r="B240" s="60">
        <v>46088.0</v>
      </c>
      <c r="C240" s="60">
        <v>46088.0</v>
      </c>
      <c r="D240" s="61" t="s">
        <v>89</v>
      </c>
      <c r="E240" s="62">
        <v>-5.7</v>
      </c>
      <c r="F240" s="63" t="s">
        <v>38</v>
      </c>
      <c r="G240" s="64"/>
      <c r="H240" s="65"/>
      <c r="I240" s="19"/>
      <c r="J240" s="66"/>
      <c r="K240" s="66"/>
      <c r="L240" s="64"/>
      <c r="M240" s="65"/>
      <c r="N240" s="67"/>
      <c r="O240" s="30"/>
      <c r="P240" s="19"/>
    </row>
    <row r="241" ht="22.5" customHeight="1">
      <c r="A241" s="59">
        <v>10.0</v>
      </c>
      <c r="B241" s="60">
        <v>46087.0</v>
      </c>
      <c r="C241" s="60">
        <v>46087.0</v>
      </c>
      <c r="D241" s="61" t="s">
        <v>41</v>
      </c>
      <c r="E241" s="62">
        <v>-6.45</v>
      </c>
      <c r="F241" s="63" t="s">
        <v>40</v>
      </c>
      <c r="G241" s="64"/>
      <c r="H241" s="65"/>
      <c r="I241" s="19"/>
      <c r="J241" s="66"/>
      <c r="K241" s="66"/>
      <c r="L241" s="64"/>
      <c r="M241" s="65"/>
      <c r="N241" s="67"/>
      <c r="O241" s="30"/>
      <c r="P241" s="19"/>
    </row>
    <row r="242" ht="22.5" customHeight="1">
      <c r="A242" s="59">
        <v>10.0</v>
      </c>
      <c r="B242" s="60">
        <v>46087.0</v>
      </c>
      <c r="C242" s="60">
        <v>46087.0</v>
      </c>
      <c r="D242" s="61" t="s">
        <v>41</v>
      </c>
      <c r="E242" s="62">
        <v>-19.43</v>
      </c>
      <c r="F242" s="63" t="s">
        <v>40</v>
      </c>
      <c r="G242" s="64"/>
      <c r="H242" s="65"/>
      <c r="I242" s="19"/>
      <c r="J242" s="66"/>
      <c r="K242" s="66"/>
      <c r="L242" s="64"/>
      <c r="M242" s="65"/>
      <c r="N242" s="67"/>
      <c r="O242" s="30"/>
      <c r="P242" s="19"/>
    </row>
    <row r="243" ht="22.5" customHeight="1">
      <c r="A243" s="59">
        <v>10.0</v>
      </c>
      <c r="B243" s="60">
        <v>46087.0</v>
      </c>
      <c r="C243" s="60">
        <v>46087.0</v>
      </c>
      <c r="D243" s="61" t="s">
        <v>44</v>
      </c>
      <c r="E243" s="62">
        <v>-15.0</v>
      </c>
      <c r="F243" s="63" t="s">
        <v>45</v>
      </c>
      <c r="G243" s="64"/>
      <c r="H243" s="65"/>
      <c r="I243" s="19"/>
      <c r="J243" s="66"/>
      <c r="K243" s="66"/>
      <c r="L243" s="64"/>
      <c r="M243" s="65"/>
      <c r="N243" s="67"/>
      <c r="O243" s="30"/>
      <c r="P243" s="19"/>
    </row>
    <row r="244" ht="22.5" customHeight="1">
      <c r="A244" s="59">
        <v>10.0</v>
      </c>
      <c r="B244" s="60">
        <v>46087.0</v>
      </c>
      <c r="C244" s="60">
        <v>46090.0</v>
      </c>
      <c r="D244" s="61" t="s">
        <v>218</v>
      </c>
      <c r="E244" s="62">
        <v>-1.95</v>
      </c>
      <c r="F244" s="63" t="s">
        <v>43</v>
      </c>
      <c r="G244" s="64"/>
      <c r="H244" s="65"/>
      <c r="I244" s="19"/>
      <c r="J244" s="66"/>
      <c r="K244" s="66"/>
      <c r="L244" s="64"/>
      <c r="M244" s="65"/>
      <c r="N244" s="67"/>
      <c r="O244" s="30"/>
      <c r="P244" s="19"/>
    </row>
    <row r="245" ht="22.5" customHeight="1">
      <c r="A245" s="59">
        <v>9.0</v>
      </c>
      <c r="B245" s="60">
        <v>46086.0</v>
      </c>
      <c r="C245" s="60">
        <v>46086.0</v>
      </c>
      <c r="D245" s="61" t="s">
        <v>219</v>
      </c>
      <c r="E245" s="62">
        <v>-19.98</v>
      </c>
      <c r="F245" s="63" t="s">
        <v>93</v>
      </c>
      <c r="G245" s="64"/>
      <c r="H245" s="65"/>
      <c r="I245" s="19"/>
      <c r="J245" s="66"/>
      <c r="K245" s="66"/>
      <c r="L245" s="64"/>
      <c r="M245" s="65"/>
      <c r="N245" s="67"/>
      <c r="O245" s="30"/>
      <c r="P245" s="19"/>
    </row>
    <row r="246" ht="22.5" customHeight="1">
      <c r="A246" s="59">
        <v>9.0</v>
      </c>
      <c r="B246" s="60">
        <v>46086.0</v>
      </c>
      <c r="C246" s="60">
        <v>46086.0</v>
      </c>
      <c r="D246" s="61" t="s">
        <v>220</v>
      </c>
      <c r="E246" s="62">
        <v>-66.5</v>
      </c>
      <c r="F246" s="63" t="s">
        <v>221</v>
      </c>
      <c r="G246" s="64"/>
      <c r="H246" s="65"/>
      <c r="I246" s="19"/>
      <c r="J246" s="66"/>
      <c r="K246" s="66"/>
      <c r="L246" s="64"/>
      <c r="M246" s="65"/>
      <c r="N246" s="67"/>
      <c r="O246" s="30"/>
      <c r="P246" s="19"/>
    </row>
    <row r="247" ht="22.5" customHeight="1">
      <c r="A247" s="59">
        <v>9.0</v>
      </c>
      <c r="B247" s="60">
        <v>46086.0</v>
      </c>
      <c r="C247" s="60">
        <v>46086.0</v>
      </c>
      <c r="D247" s="61" t="s">
        <v>222</v>
      </c>
      <c r="E247" s="62">
        <v>350.0</v>
      </c>
      <c r="F247" s="63" t="s">
        <v>221</v>
      </c>
      <c r="G247" s="64"/>
      <c r="H247" s="65"/>
      <c r="I247" s="19"/>
      <c r="J247" s="66"/>
      <c r="K247" s="66"/>
      <c r="L247" s="64"/>
      <c r="M247" s="65"/>
      <c r="N247" s="67"/>
      <c r="O247" s="30"/>
      <c r="P247" s="19"/>
    </row>
    <row r="248" ht="22.5" customHeight="1">
      <c r="A248" s="59">
        <v>9.0</v>
      </c>
      <c r="B248" s="60">
        <v>46086.0</v>
      </c>
      <c r="C248" s="60">
        <v>46086.0</v>
      </c>
      <c r="D248" s="61" t="s">
        <v>220</v>
      </c>
      <c r="E248" s="62">
        <v>-85.5</v>
      </c>
      <c r="F248" s="63" t="s">
        <v>221</v>
      </c>
      <c r="G248" s="64"/>
      <c r="H248" s="65"/>
      <c r="I248" s="19"/>
      <c r="J248" s="66"/>
      <c r="K248" s="66"/>
      <c r="L248" s="64"/>
      <c r="M248" s="65"/>
      <c r="N248" s="67"/>
      <c r="O248" s="30"/>
      <c r="P248" s="19"/>
    </row>
    <row r="249" ht="22.5" customHeight="1">
      <c r="A249" s="59">
        <v>9.0</v>
      </c>
      <c r="B249" s="60">
        <v>46086.0</v>
      </c>
      <c r="C249" s="60">
        <v>46086.0</v>
      </c>
      <c r="D249" s="61" t="s">
        <v>222</v>
      </c>
      <c r="E249" s="62">
        <v>450.0</v>
      </c>
      <c r="F249" s="63" t="s">
        <v>221</v>
      </c>
      <c r="G249" s="64"/>
      <c r="H249" s="65"/>
      <c r="I249" s="19"/>
      <c r="J249" s="66"/>
      <c r="K249" s="66"/>
      <c r="L249" s="64"/>
      <c r="M249" s="65"/>
      <c r="N249" s="67"/>
      <c r="O249" s="30"/>
      <c r="P249" s="19"/>
    </row>
    <row r="250" ht="22.5" customHeight="1">
      <c r="A250" s="59">
        <v>9.0</v>
      </c>
      <c r="B250" s="60">
        <v>46086.0</v>
      </c>
      <c r="C250" s="60">
        <v>46089.0</v>
      </c>
      <c r="D250" s="61" t="s">
        <v>223</v>
      </c>
      <c r="E250" s="62">
        <v>1.22</v>
      </c>
      <c r="F250" s="63" t="s">
        <v>72</v>
      </c>
      <c r="G250" s="64"/>
      <c r="H250" s="65"/>
      <c r="I250" s="19"/>
      <c r="J250" s="66"/>
      <c r="K250" s="66"/>
      <c r="L250" s="64"/>
      <c r="M250" s="65"/>
      <c r="N250" s="67"/>
      <c r="O250" s="30"/>
      <c r="P250" s="19"/>
    </row>
    <row r="251" ht="22.5" customHeight="1">
      <c r="A251" s="59">
        <v>9.0</v>
      </c>
      <c r="B251" s="60">
        <v>46086.0</v>
      </c>
      <c r="C251" s="60">
        <v>46089.0</v>
      </c>
      <c r="D251" s="61" t="s">
        <v>179</v>
      </c>
      <c r="E251" s="62">
        <v>-1.45</v>
      </c>
      <c r="F251" s="63" t="s">
        <v>72</v>
      </c>
      <c r="G251" s="64"/>
      <c r="H251" s="65"/>
      <c r="I251" s="19"/>
      <c r="J251" s="66"/>
      <c r="K251" s="66"/>
      <c r="L251" s="64"/>
      <c r="M251" s="65"/>
      <c r="N251" s="67"/>
      <c r="O251" s="30"/>
      <c r="P251" s="19"/>
    </row>
    <row r="252" ht="22.5" customHeight="1">
      <c r="A252" s="59">
        <v>9.0</v>
      </c>
      <c r="B252" s="60">
        <v>46086.0</v>
      </c>
      <c r="C252" s="60">
        <v>46089.0</v>
      </c>
      <c r="D252" s="61" t="s">
        <v>224</v>
      </c>
      <c r="E252" s="62">
        <v>-58.55</v>
      </c>
      <c r="F252" s="63" t="s">
        <v>38</v>
      </c>
      <c r="G252" s="64"/>
      <c r="H252" s="65"/>
      <c r="I252" s="19"/>
      <c r="J252" s="66"/>
      <c r="K252" s="66"/>
      <c r="L252" s="64"/>
      <c r="M252" s="65"/>
      <c r="N252" s="67"/>
      <c r="O252" s="30"/>
      <c r="P252" s="19"/>
    </row>
    <row r="253" ht="22.5" customHeight="1">
      <c r="A253" s="59">
        <v>9.0</v>
      </c>
      <c r="B253" s="60">
        <v>46086.0</v>
      </c>
      <c r="C253" s="60">
        <v>46089.0</v>
      </c>
      <c r="D253" s="61" t="s">
        <v>225</v>
      </c>
      <c r="E253" s="62">
        <v>-20.0</v>
      </c>
      <c r="F253" s="63" t="s">
        <v>226</v>
      </c>
      <c r="G253" s="64"/>
      <c r="H253" s="65"/>
      <c r="I253" s="19"/>
      <c r="J253" s="66"/>
      <c r="K253" s="66"/>
      <c r="L253" s="64"/>
      <c r="M253" s="65"/>
      <c r="N253" s="67"/>
      <c r="O253" s="30"/>
      <c r="P253" s="19"/>
    </row>
    <row r="254" ht="22.5" customHeight="1">
      <c r="A254" s="59">
        <v>9.0</v>
      </c>
      <c r="B254" s="60">
        <v>46086.0</v>
      </c>
      <c r="C254" s="60">
        <v>46086.0</v>
      </c>
      <c r="D254" s="61" t="s">
        <v>227</v>
      </c>
      <c r="E254" s="62">
        <v>-20.0</v>
      </c>
      <c r="F254" s="63" t="s">
        <v>88</v>
      </c>
      <c r="G254" s="64"/>
      <c r="H254" s="65"/>
      <c r="I254" s="19"/>
      <c r="J254" s="66"/>
      <c r="K254" s="66"/>
      <c r="L254" s="64"/>
      <c r="M254" s="65"/>
      <c r="N254" s="67"/>
      <c r="O254" s="30"/>
      <c r="P254" s="19"/>
    </row>
    <row r="255" ht="22.5" customHeight="1">
      <c r="A255" s="59">
        <v>9.0</v>
      </c>
      <c r="B255" s="60">
        <v>46085.0</v>
      </c>
      <c r="C255" s="60">
        <v>46085.0</v>
      </c>
      <c r="D255" s="61" t="s">
        <v>210</v>
      </c>
      <c r="E255" s="62">
        <v>-100.57</v>
      </c>
      <c r="F255" s="63" t="s">
        <v>38</v>
      </c>
      <c r="G255" s="64"/>
      <c r="H255" s="65"/>
      <c r="I255" s="19"/>
      <c r="J255" s="66"/>
      <c r="K255" s="66"/>
      <c r="L255" s="64"/>
      <c r="M255" s="65"/>
      <c r="N255" s="67"/>
      <c r="O255" s="30"/>
      <c r="P255" s="19"/>
    </row>
    <row r="256" ht="22.5" customHeight="1">
      <c r="A256" s="59">
        <v>9.0</v>
      </c>
      <c r="B256" s="60">
        <v>46085.0</v>
      </c>
      <c r="C256" s="60">
        <v>46088.0</v>
      </c>
      <c r="D256" s="61" t="s">
        <v>228</v>
      </c>
      <c r="E256" s="62">
        <v>-44.76</v>
      </c>
      <c r="F256" s="63" t="s">
        <v>49</v>
      </c>
      <c r="G256" s="64"/>
      <c r="H256" s="65"/>
      <c r="I256" s="19"/>
      <c r="J256" s="66"/>
      <c r="K256" s="66"/>
      <c r="L256" s="64"/>
      <c r="M256" s="65"/>
      <c r="N256" s="67"/>
      <c r="O256" s="30"/>
      <c r="P256" s="19"/>
    </row>
    <row r="257" ht="22.5" customHeight="1">
      <c r="A257" s="59">
        <v>9.0</v>
      </c>
      <c r="B257" s="60">
        <v>46085.0</v>
      </c>
      <c r="C257" s="60">
        <v>46087.0</v>
      </c>
      <c r="D257" s="61" t="s">
        <v>229</v>
      </c>
      <c r="E257" s="62">
        <v>3.69</v>
      </c>
      <c r="F257" s="63" t="s">
        <v>216</v>
      </c>
      <c r="G257" s="64"/>
      <c r="H257" s="65"/>
      <c r="I257" s="19"/>
      <c r="J257" s="66"/>
      <c r="K257" s="66"/>
      <c r="L257" s="64"/>
      <c r="M257" s="65"/>
      <c r="N257" s="67"/>
      <c r="O257" s="30"/>
      <c r="P257" s="19"/>
    </row>
    <row r="258" ht="22.5" customHeight="1">
      <c r="A258" s="59">
        <v>9.0</v>
      </c>
      <c r="B258" s="60">
        <v>46084.0</v>
      </c>
      <c r="C258" s="60">
        <v>46084.0</v>
      </c>
      <c r="D258" s="61" t="s">
        <v>230</v>
      </c>
      <c r="E258" s="62">
        <v>-6.57</v>
      </c>
      <c r="F258" s="63" t="s">
        <v>38</v>
      </c>
      <c r="G258" s="64"/>
      <c r="H258" s="65"/>
      <c r="I258" s="19"/>
      <c r="J258" s="66"/>
      <c r="K258" s="66"/>
      <c r="L258" s="64"/>
      <c r="M258" s="65"/>
      <c r="N258" s="67"/>
      <c r="O258" s="30"/>
      <c r="P258" s="19"/>
    </row>
    <row r="259" ht="22.5" customHeight="1">
      <c r="A259" s="59">
        <v>9.0</v>
      </c>
      <c r="B259" s="60">
        <v>46084.0</v>
      </c>
      <c r="C259" s="60">
        <v>46084.0</v>
      </c>
      <c r="D259" s="61" t="s">
        <v>41</v>
      </c>
      <c r="E259" s="62">
        <v>-15.0</v>
      </c>
      <c r="F259" s="63" t="s">
        <v>40</v>
      </c>
      <c r="G259" s="64"/>
      <c r="H259" s="65"/>
      <c r="I259" s="19"/>
      <c r="J259" s="66"/>
      <c r="K259" s="66"/>
      <c r="L259" s="64"/>
      <c r="M259" s="65"/>
      <c r="N259" s="67"/>
      <c r="O259" s="30"/>
      <c r="P259" s="19"/>
    </row>
    <row r="260" ht="22.5" customHeight="1">
      <c r="A260" s="59">
        <v>9.0</v>
      </c>
      <c r="B260" s="60">
        <v>46084.0</v>
      </c>
      <c r="C260" s="60">
        <v>46084.0</v>
      </c>
      <c r="D260" s="61" t="s">
        <v>39</v>
      </c>
      <c r="E260" s="62">
        <v>-15.9</v>
      </c>
      <c r="F260" s="63" t="s">
        <v>40</v>
      </c>
      <c r="G260" s="64"/>
      <c r="H260" s="65"/>
      <c r="I260" s="19"/>
      <c r="J260" s="66"/>
      <c r="K260" s="66"/>
      <c r="L260" s="64"/>
      <c r="M260" s="65"/>
      <c r="N260" s="67"/>
      <c r="O260" s="30"/>
      <c r="P260" s="19"/>
    </row>
    <row r="261" ht="22.5" customHeight="1">
      <c r="A261" s="59">
        <v>9.0</v>
      </c>
      <c r="B261" s="60">
        <v>46084.0</v>
      </c>
      <c r="C261" s="60">
        <v>46084.0</v>
      </c>
      <c r="D261" s="61" t="s">
        <v>41</v>
      </c>
      <c r="E261" s="62">
        <v>-6.55</v>
      </c>
      <c r="F261" s="63" t="s">
        <v>40</v>
      </c>
      <c r="G261" s="64"/>
      <c r="H261" s="65"/>
      <c r="I261" s="19"/>
      <c r="J261" s="66"/>
      <c r="K261" s="66"/>
      <c r="L261" s="64"/>
      <c r="M261" s="65"/>
      <c r="N261" s="67"/>
      <c r="O261" s="30"/>
      <c r="P261" s="19"/>
    </row>
    <row r="262" ht="22.5" customHeight="1">
      <c r="A262" s="59">
        <v>9.0</v>
      </c>
      <c r="B262" s="60">
        <v>46084.0</v>
      </c>
      <c r="C262" s="60">
        <v>46086.0</v>
      </c>
      <c r="D262" s="61" t="s">
        <v>231</v>
      </c>
      <c r="E262" s="62">
        <v>-22.19</v>
      </c>
      <c r="F262" s="63" t="s">
        <v>43</v>
      </c>
      <c r="G262" s="64"/>
      <c r="H262" s="65"/>
      <c r="I262" s="19"/>
      <c r="J262" s="66"/>
      <c r="K262" s="66"/>
      <c r="L262" s="64"/>
      <c r="M262" s="65"/>
      <c r="N262" s="67"/>
      <c r="O262" s="30"/>
      <c r="P262" s="19"/>
    </row>
    <row r="263" ht="22.5" customHeight="1">
      <c r="A263" s="59">
        <v>9.0</v>
      </c>
      <c r="B263" s="60">
        <v>46083.0</v>
      </c>
      <c r="C263" s="60">
        <v>46083.0</v>
      </c>
      <c r="D263" s="61" t="s">
        <v>232</v>
      </c>
      <c r="E263" s="62">
        <v>-792.16</v>
      </c>
      <c r="F263" s="63" t="s">
        <v>156</v>
      </c>
      <c r="G263" s="64"/>
      <c r="H263" s="65"/>
      <c r="I263" s="19"/>
      <c r="J263" s="66"/>
      <c r="K263" s="66"/>
      <c r="L263" s="64"/>
      <c r="M263" s="65"/>
      <c r="N263" s="67"/>
      <c r="O263" s="30"/>
      <c r="P263" s="19"/>
    </row>
    <row r="264" ht="22.5" customHeight="1">
      <c r="A264" s="59">
        <v>9.0</v>
      </c>
      <c r="B264" s="60">
        <v>46083.0</v>
      </c>
      <c r="C264" s="60">
        <v>46083.0</v>
      </c>
      <c r="D264" s="61" t="s">
        <v>39</v>
      </c>
      <c r="E264" s="62">
        <v>-17.5</v>
      </c>
      <c r="F264" s="63" t="s">
        <v>40</v>
      </c>
      <c r="G264" s="64"/>
      <c r="H264" s="65"/>
      <c r="I264" s="19"/>
      <c r="J264" s="66"/>
      <c r="K264" s="66"/>
      <c r="L264" s="64"/>
      <c r="M264" s="65"/>
      <c r="N264" s="67"/>
      <c r="O264" s="30"/>
      <c r="P264" s="19"/>
    </row>
    <row r="265" ht="22.5" customHeight="1">
      <c r="A265" s="59">
        <v>9.0</v>
      </c>
      <c r="B265" s="60">
        <v>46083.0</v>
      </c>
      <c r="C265" s="60">
        <v>46083.0</v>
      </c>
      <c r="D265" s="61" t="s">
        <v>41</v>
      </c>
      <c r="E265" s="62">
        <v>-6.55</v>
      </c>
      <c r="F265" s="63" t="s">
        <v>40</v>
      </c>
      <c r="G265" s="64"/>
      <c r="H265" s="65"/>
      <c r="I265" s="19"/>
      <c r="J265" s="66"/>
      <c r="K265" s="66"/>
      <c r="L265" s="64"/>
      <c r="M265" s="65"/>
      <c r="N265" s="67"/>
      <c r="O265" s="30"/>
      <c r="P265" s="19"/>
    </row>
    <row r="266" ht="22.5" customHeight="1">
      <c r="A266" s="59">
        <v>9.0</v>
      </c>
      <c r="B266" s="60">
        <v>46083.0</v>
      </c>
      <c r="C266" s="60">
        <v>46086.0</v>
      </c>
      <c r="D266" s="61" t="s">
        <v>167</v>
      </c>
      <c r="E266" s="62">
        <v>-36.99</v>
      </c>
      <c r="F266" s="63" t="s">
        <v>168</v>
      </c>
      <c r="G266" s="64"/>
      <c r="H266" s="65"/>
      <c r="I266" s="19"/>
      <c r="J266" s="66"/>
      <c r="K266" s="66"/>
      <c r="L266" s="64"/>
      <c r="M266" s="65"/>
      <c r="N266" s="67"/>
      <c r="O266" s="30"/>
      <c r="P266" s="19"/>
    </row>
    <row r="267" ht="22.5" customHeight="1">
      <c r="A267" s="59">
        <v>9.0</v>
      </c>
      <c r="B267" s="60">
        <v>46083.0</v>
      </c>
      <c r="C267" s="60">
        <v>46084.0</v>
      </c>
      <c r="D267" s="61" t="s">
        <v>231</v>
      </c>
      <c r="E267" s="62">
        <v>-41.98</v>
      </c>
      <c r="F267" s="63" t="s">
        <v>43</v>
      </c>
      <c r="G267" s="64"/>
      <c r="H267" s="65"/>
      <c r="I267" s="19"/>
      <c r="J267" s="66"/>
      <c r="K267" s="66"/>
      <c r="L267" s="64"/>
      <c r="M267" s="65"/>
      <c r="N267" s="67"/>
      <c r="O267" s="30"/>
      <c r="P267" s="19"/>
    </row>
    <row r="268" ht="22.5" customHeight="1">
      <c r="A268" s="59">
        <v>9.0</v>
      </c>
      <c r="B268" s="60">
        <v>46082.0</v>
      </c>
      <c r="C268" s="60">
        <v>46082.0</v>
      </c>
      <c r="D268" s="61" t="s">
        <v>44</v>
      </c>
      <c r="E268" s="62">
        <v>-20.0</v>
      </c>
      <c r="F268" s="63" t="s">
        <v>45</v>
      </c>
      <c r="G268" s="64"/>
      <c r="H268" s="65"/>
      <c r="I268" s="19"/>
      <c r="J268" s="66"/>
      <c r="K268" s="66"/>
      <c r="L268" s="64"/>
      <c r="M268" s="65"/>
      <c r="N268" s="67"/>
      <c r="O268" s="30"/>
      <c r="P268" s="19"/>
    </row>
    <row r="269" ht="22.5" customHeight="1">
      <c r="A269" s="59">
        <v>9.0</v>
      </c>
      <c r="B269" s="60">
        <v>46082.0</v>
      </c>
      <c r="C269" s="60">
        <v>46082.0</v>
      </c>
      <c r="D269" s="61" t="s">
        <v>233</v>
      </c>
      <c r="E269" s="62">
        <v>-122.58</v>
      </c>
      <c r="F269" s="63" t="s">
        <v>144</v>
      </c>
      <c r="G269" s="64"/>
      <c r="H269" s="65"/>
      <c r="I269" s="19"/>
      <c r="J269" s="66"/>
      <c r="K269" s="66"/>
      <c r="L269" s="64"/>
      <c r="M269" s="65"/>
      <c r="N269" s="67"/>
      <c r="O269" s="30"/>
      <c r="P269" s="19"/>
    </row>
    <row r="270" ht="22.5" customHeight="1">
      <c r="A270" s="59">
        <v>9.0</v>
      </c>
      <c r="B270" s="60">
        <v>46081.0</v>
      </c>
      <c r="C270" s="60">
        <v>46081.0</v>
      </c>
      <c r="D270" s="61" t="s">
        <v>234</v>
      </c>
      <c r="E270" s="62">
        <v>22.0</v>
      </c>
      <c r="F270" s="63" t="s">
        <v>86</v>
      </c>
      <c r="G270" s="64"/>
      <c r="H270" s="65"/>
      <c r="I270" s="19"/>
      <c r="J270" s="66"/>
      <c r="K270" s="66"/>
      <c r="L270" s="64"/>
      <c r="M270" s="65"/>
      <c r="N270" s="67"/>
      <c r="O270" s="30"/>
      <c r="P270" s="19"/>
    </row>
    <row r="271" ht="22.5" customHeight="1">
      <c r="A271" s="59">
        <v>9.0</v>
      </c>
      <c r="B271" s="60">
        <v>46081.0</v>
      </c>
      <c r="C271" s="60">
        <v>46081.0</v>
      </c>
      <c r="D271" s="61" t="s">
        <v>235</v>
      </c>
      <c r="E271" s="62">
        <v>-12.79</v>
      </c>
      <c r="F271" s="63" t="s">
        <v>38</v>
      </c>
      <c r="G271" s="64"/>
      <c r="H271" s="65"/>
      <c r="I271" s="19"/>
      <c r="J271" s="66"/>
      <c r="K271" s="66"/>
      <c r="L271" s="64"/>
      <c r="M271" s="65"/>
      <c r="N271" s="67"/>
      <c r="O271" s="30"/>
      <c r="P271" s="19"/>
    </row>
    <row r="272" ht="22.5" customHeight="1">
      <c r="A272" s="59">
        <v>9.0</v>
      </c>
      <c r="B272" s="60">
        <v>46080.0</v>
      </c>
      <c r="C272" s="60">
        <v>46080.0</v>
      </c>
      <c r="D272" s="61" t="s">
        <v>83</v>
      </c>
      <c r="E272" s="62">
        <v>-24.97</v>
      </c>
      <c r="F272" s="63" t="s">
        <v>43</v>
      </c>
      <c r="G272" s="64"/>
      <c r="H272" s="65"/>
      <c r="I272" s="19"/>
      <c r="J272" s="66"/>
      <c r="K272" s="66"/>
      <c r="L272" s="64"/>
      <c r="M272" s="65"/>
      <c r="N272" s="67"/>
      <c r="O272" s="30"/>
      <c r="P272" s="19"/>
    </row>
    <row r="273" ht="22.5" customHeight="1">
      <c r="A273" s="59">
        <v>9.0</v>
      </c>
      <c r="B273" s="60">
        <v>46080.0</v>
      </c>
      <c r="C273" s="60">
        <v>46080.0</v>
      </c>
      <c r="D273" s="61" t="s">
        <v>169</v>
      </c>
      <c r="E273" s="62">
        <v>-7.8</v>
      </c>
      <c r="F273" s="63" t="s">
        <v>43</v>
      </c>
      <c r="G273" s="64"/>
      <c r="H273" s="65"/>
      <c r="I273" s="19"/>
      <c r="J273" s="66"/>
      <c r="K273" s="66"/>
      <c r="L273" s="64"/>
      <c r="M273" s="65"/>
      <c r="N273" s="67"/>
      <c r="O273" s="30"/>
      <c r="P273" s="19"/>
    </row>
    <row r="274" ht="22.5" customHeight="1">
      <c r="A274" s="59">
        <v>9.0</v>
      </c>
      <c r="B274" s="60">
        <v>46080.0</v>
      </c>
      <c r="C274" s="60">
        <v>46080.0</v>
      </c>
      <c r="D274" s="61" t="s">
        <v>157</v>
      </c>
      <c r="E274" s="62">
        <v>720.83</v>
      </c>
      <c r="F274" s="63" t="s">
        <v>154</v>
      </c>
      <c r="G274" s="64"/>
      <c r="H274" s="65"/>
      <c r="I274" s="19"/>
      <c r="J274" s="66"/>
      <c r="K274" s="66"/>
      <c r="L274" s="64"/>
      <c r="M274" s="65"/>
      <c r="N274" s="67"/>
      <c r="O274" s="30"/>
      <c r="P274" s="19"/>
    </row>
    <row r="275" ht="22.5" customHeight="1">
      <c r="A275" s="59">
        <v>9.0</v>
      </c>
      <c r="B275" s="60">
        <v>46080.0</v>
      </c>
      <c r="C275" s="60">
        <v>46080.0</v>
      </c>
      <c r="D275" s="61" t="s">
        <v>41</v>
      </c>
      <c r="E275" s="62">
        <v>-22.99</v>
      </c>
      <c r="F275" s="63" t="s">
        <v>40</v>
      </c>
      <c r="G275" s="64"/>
      <c r="H275" s="65"/>
      <c r="I275" s="19"/>
      <c r="J275" s="66"/>
      <c r="K275" s="66"/>
      <c r="L275" s="64"/>
      <c r="M275" s="65"/>
      <c r="N275" s="67"/>
      <c r="O275" s="30"/>
      <c r="P275" s="19"/>
    </row>
    <row r="276" ht="22.5" customHeight="1">
      <c r="A276" s="59">
        <v>9.0</v>
      </c>
      <c r="B276" s="60">
        <v>46080.0</v>
      </c>
      <c r="C276" s="60">
        <v>46080.0</v>
      </c>
      <c r="D276" s="61" t="s">
        <v>44</v>
      </c>
      <c r="E276" s="62">
        <v>-45.0</v>
      </c>
      <c r="F276" s="63" t="s">
        <v>45</v>
      </c>
      <c r="G276" s="64"/>
      <c r="H276" s="65"/>
      <c r="I276" s="19"/>
      <c r="J276" s="66"/>
      <c r="K276" s="66"/>
      <c r="L276" s="64"/>
      <c r="M276" s="65"/>
      <c r="N276" s="67"/>
      <c r="O276" s="30"/>
      <c r="P276" s="19"/>
    </row>
    <row r="277" ht="22.5" customHeight="1">
      <c r="A277" s="59">
        <v>9.0</v>
      </c>
      <c r="B277" s="60">
        <v>46080.0</v>
      </c>
      <c r="C277" s="60">
        <v>46080.0</v>
      </c>
      <c r="D277" s="61" t="s">
        <v>153</v>
      </c>
      <c r="E277" s="62">
        <v>1972.52</v>
      </c>
      <c r="F277" s="63" t="s">
        <v>154</v>
      </c>
      <c r="G277" s="64"/>
      <c r="H277" s="65"/>
      <c r="I277" s="19"/>
      <c r="J277" s="66"/>
      <c r="K277" s="66"/>
      <c r="L277" s="64"/>
      <c r="M277" s="65"/>
      <c r="N277" s="67"/>
      <c r="O277" s="30"/>
      <c r="P277" s="19"/>
    </row>
    <row r="278" ht="22.5" customHeight="1">
      <c r="A278" s="59">
        <v>9.0</v>
      </c>
      <c r="B278" s="60">
        <v>46080.0</v>
      </c>
      <c r="C278" s="60">
        <v>46083.0</v>
      </c>
      <c r="D278" s="61" t="s">
        <v>236</v>
      </c>
      <c r="E278" s="62">
        <v>1.02</v>
      </c>
      <c r="F278" s="63" t="s">
        <v>72</v>
      </c>
      <c r="G278" s="64"/>
      <c r="H278" s="65"/>
      <c r="I278" s="19"/>
      <c r="J278" s="66"/>
      <c r="K278" s="66"/>
      <c r="L278" s="64"/>
      <c r="M278" s="65"/>
      <c r="N278" s="67"/>
      <c r="O278" s="30"/>
      <c r="P278" s="19"/>
    </row>
    <row r="279" ht="22.5" customHeight="1">
      <c r="A279" s="59">
        <v>9.0</v>
      </c>
      <c r="B279" s="60">
        <v>46080.0</v>
      </c>
      <c r="C279" s="60">
        <v>46083.0</v>
      </c>
      <c r="D279" s="61" t="s">
        <v>179</v>
      </c>
      <c r="E279" s="62">
        <v>-1.35</v>
      </c>
      <c r="F279" s="63" t="s">
        <v>72</v>
      </c>
      <c r="G279" s="64"/>
      <c r="H279" s="65"/>
      <c r="I279" s="19"/>
      <c r="J279" s="66"/>
      <c r="K279" s="66"/>
      <c r="L279" s="64"/>
      <c r="M279" s="65"/>
      <c r="N279" s="67"/>
      <c r="O279" s="30"/>
      <c r="P279" s="19"/>
    </row>
    <row r="280" ht="22.5" customHeight="1">
      <c r="A280" s="59">
        <v>9.0</v>
      </c>
      <c r="B280" s="60">
        <v>46080.0</v>
      </c>
      <c r="C280" s="60">
        <v>46083.0</v>
      </c>
      <c r="D280" s="61" t="s">
        <v>237</v>
      </c>
      <c r="E280" s="62">
        <v>-7.45</v>
      </c>
      <c r="F280" s="63" t="s">
        <v>38</v>
      </c>
      <c r="G280" s="64"/>
      <c r="H280" s="65"/>
      <c r="I280" s="19"/>
      <c r="J280" s="66"/>
      <c r="K280" s="66"/>
      <c r="L280" s="64"/>
      <c r="M280" s="65"/>
      <c r="N280" s="67"/>
      <c r="O280" s="30"/>
      <c r="P280" s="19"/>
    </row>
    <row r="281" ht="22.5" customHeight="1">
      <c r="A281" s="59">
        <v>9.0</v>
      </c>
      <c r="B281" s="60">
        <v>46080.0</v>
      </c>
      <c r="C281" s="60">
        <v>46081.0</v>
      </c>
      <c r="D281" s="61" t="s">
        <v>238</v>
      </c>
      <c r="E281" s="62">
        <v>-233.03</v>
      </c>
      <c r="F281" s="63" t="s">
        <v>146</v>
      </c>
      <c r="G281" s="64"/>
      <c r="H281" s="65"/>
      <c r="I281" s="19"/>
      <c r="J281" s="66"/>
      <c r="K281" s="66"/>
      <c r="L281" s="64"/>
      <c r="M281" s="65"/>
      <c r="N281" s="67"/>
      <c r="O281" s="30"/>
      <c r="P281" s="19"/>
    </row>
    <row r="282" ht="22.5" customHeight="1">
      <c r="A282" s="59">
        <v>8.0</v>
      </c>
      <c r="B282" s="60">
        <v>46079.0</v>
      </c>
      <c r="C282" s="60">
        <v>46079.0</v>
      </c>
      <c r="D282" s="61" t="s">
        <v>100</v>
      </c>
      <c r="E282" s="62">
        <v>-10.8</v>
      </c>
      <c r="F282" s="63" t="s">
        <v>101</v>
      </c>
      <c r="G282" s="64"/>
      <c r="H282" s="65"/>
      <c r="I282" s="19"/>
      <c r="J282" s="66"/>
      <c r="K282" s="66"/>
      <c r="L282" s="64"/>
      <c r="M282" s="65"/>
      <c r="N282" s="67"/>
      <c r="O282" s="30"/>
      <c r="P282" s="19"/>
    </row>
    <row r="283" ht="22.5" customHeight="1">
      <c r="A283" s="59">
        <v>8.0</v>
      </c>
      <c r="B283" s="60">
        <v>46079.0</v>
      </c>
      <c r="C283" s="60">
        <v>46079.0</v>
      </c>
      <c r="D283" s="61" t="s">
        <v>239</v>
      </c>
      <c r="E283" s="62">
        <v>-76.69</v>
      </c>
      <c r="F283" s="63" t="s">
        <v>40</v>
      </c>
      <c r="G283" s="64"/>
      <c r="H283" s="65"/>
      <c r="I283" s="19"/>
      <c r="J283" s="66"/>
      <c r="K283" s="66"/>
      <c r="L283" s="64"/>
      <c r="M283" s="65"/>
      <c r="N283" s="67"/>
      <c r="O283" s="30"/>
      <c r="P283" s="19"/>
    </row>
    <row r="284" ht="22.5" customHeight="1">
      <c r="A284" s="59">
        <v>8.0</v>
      </c>
      <c r="B284" s="60">
        <v>46079.0</v>
      </c>
      <c r="C284" s="60">
        <v>46082.0</v>
      </c>
      <c r="D284" s="61" t="s">
        <v>240</v>
      </c>
      <c r="E284" s="62">
        <v>-13.7</v>
      </c>
      <c r="F284" s="63" t="s">
        <v>116</v>
      </c>
      <c r="G284" s="64"/>
      <c r="H284" s="65"/>
      <c r="I284" s="19"/>
      <c r="J284" s="66"/>
      <c r="K284" s="66"/>
      <c r="L284" s="64"/>
      <c r="M284" s="65"/>
      <c r="N284" s="67"/>
      <c r="O284" s="30"/>
      <c r="P284" s="19"/>
    </row>
    <row r="285" ht="22.5" customHeight="1">
      <c r="A285" s="59">
        <v>8.0</v>
      </c>
      <c r="B285" s="60">
        <v>46078.0</v>
      </c>
      <c r="C285" s="60">
        <v>46078.0</v>
      </c>
      <c r="D285" s="61" t="s">
        <v>46</v>
      </c>
      <c r="E285" s="62">
        <v>-45.0</v>
      </c>
      <c r="F285" s="63" t="s">
        <v>47</v>
      </c>
      <c r="G285" s="64"/>
      <c r="H285" s="65"/>
      <c r="I285" s="19"/>
      <c r="J285" s="66"/>
      <c r="K285" s="66"/>
      <c r="L285" s="64"/>
      <c r="M285" s="65"/>
      <c r="N285" s="67"/>
      <c r="O285" s="30"/>
      <c r="P285" s="19"/>
    </row>
    <row r="286" ht="22.5" customHeight="1">
      <c r="A286" s="59">
        <v>8.0</v>
      </c>
      <c r="B286" s="60">
        <v>46078.0</v>
      </c>
      <c r="C286" s="60">
        <v>46081.0</v>
      </c>
      <c r="D286" s="61" t="s">
        <v>241</v>
      </c>
      <c r="E286" s="62">
        <v>-1.2</v>
      </c>
      <c r="F286" s="63" t="s">
        <v>43</v>
      </c>
      <c r="G286" s="64"/>
      <c r="H286" s="65"/>
      <c r="I286" s="19"/>
      <c r="J286" s="66"/>
      <c r="K286" s="66"/>
      <c r="L286" s="64"/>
      <c r="M286" s="65"/>
      <c r="N286" s="67"/>
      <c r="O286" s="30"/>
      <c r="P286" s="19"/>
    </row>
    <row r="287" ht="22.5" customHeight="1">
      <c r="A287" s="59">
        <v>8.0</v>
      </c>
      <c r="B287" s="60">
        <v>46078.0</v>
      </c>
      <c r="C287" s="60">
        <v>46081.0</v>
      </c>
      <c r="D287" s="61" t="s">
        <v>242</v>
      </c>
      <c r="E287" s="62">
        <v>-2.0</v>
      </c>
      <c r="F287" s="63" t="s">
        <v>43</v>
      </c>
      <c r="G287" s="64"/>
      <c r="H287" s="65"/>
      <c r="I287" s="19"/>
      <c r="J287" s="66"/>
      <c r="K287" s="66"/>
      <c r="L287" s="64"/>
      <c r="M287" s="65"/>
      <c r="N287" s="67"/>
      <c r="O287" s="30"/>
      <c r="P287" s="19"/>
    </row>
    <row r="288" ht="22.5" customHeight="1">
      <c r="A288" s="59">
        <v>8.0</v>
      </c>
      <c r="B288" s="60">
        <v>46078.0</v>
      </c>
      <c r="C288" s="60">
        <v>46078.0</v>
      </c>
      <c r="D288" s="61" t="s">
        <v>191</v>
      </c>
      <c r="E288" s="62">
        <v>100.0</v>
      </c>
      <c r="F288" s="63" t="s">
        <v>192</v>
      </c>
      <c r="G288" s="64"/>
      <c r="H288" s="65"/>
      <c r="I288" s="19"/>
      <c r="J288" s="66"/>
      <c r="K288" s="66"/>
      <c r="L288" s="64"/>
      <c r="M288" s="65"/>
      <c r="N288" s="67"/>
      <c r="O288" s="30"/>
      <c r="P288" s="19"/>
    </row>
    <row r="289" ht="22.5" customHeight="1">
      <c r="A289" s="59">
        <v>8.0</v>
      </c>
      <c r="B289" s="60">
        <v>46077.0</v>
      </c>
      <c r="C289" s="60">
        <v>46077.0</v>
      </c>
      <c r="D289" s="61" t="s">
        <v>243</v>
      </c>
      <c r="E289" s="62">
        <v>-72.0</v>
      </c>
      <c r="F289" s="63" t="s">
        <v>40</v>
      </c>
      <c r="G289" s="64"/>
      <c r="H289" s="65"/>
      <c r="I289" s="19"/>
      <c r="J289" s="66"/>
      <c r="K289" s="66"/>
      <c r="L289" s="64"/>
      <c r="M289" s="65"/>
      <c r="N289" s="67"/>
      <c r="O289" s="30"/>
      <c r="P289" s="19"/>
    </row>
    <row r="290" ht="22.5" customHeight="1">
      <c r="A290" s="59">
        <v>8.0</v>
      </c>
      <c r="B290" s="60">
        <v>46077.0</v>
      </c>
      <c r="C290" s="60">
        <v>46080.0</v>
      </c>
      <c r="D290" s="61" t="s">
        <v>244</v>
      </c>
      <c r="E290" s="62">
        <v>-23.79</v>
      </c>
      <c r="F290" s="63" t="s">
        <v>38</v>
      </c>
      <c r="G290" s="64"/>
      <c r="H290" s="65"/>
      <c r="I290" s="19"/>
      <c r="J290" s="66"/>
      <c r="K290" s="66"/>
      <c r="L290" s="64"/>
      <c r="M290" s="65"/>
      <c r="N290" s="67"/>
      <c r="O290" s="30"/>
      <c r="P290" s="19"/>
    </row>
    <row r="291" ht="22.5" customHeight="1">
      <c r="A291" s="59">
        <v>8.0</v>
      </c>
      <c r="B291" s="60">
        <v>46077.0</v>
      </c>
      <c r="C291" s="60">
        <v>46080.0</v>
      </c>
      <c r="D291" s="61" t="s">
        <v>245</v>
      </c>
      <c r="E291" s="62">
        <v>-2.4</v>
      </c>
      <c r="F291" s="63" t="s">
        <v>43</v>
      </c>
      <c r="G291" s="64"/>
      <c r="H291" s="65"/>
      <c r="I291" s="19"/>
      <c r="J291" s="66"/>
      <c r="K291" s="66"/>
      <c r="L291" s="64"/>
      <c r="M291" s="65"/>
      <c r="N291" s="67"/>
      <c r="O291" s="30"/>
      <c r="P291" s="19"/>
    </row>
    <row r="292" ht="22.5" customHeight="1">
      <c r="A292" s="59">
        <v>8.0</v>
      </c>
      <c r="B292" s="60">
        <v>46077.0</v>
      </c>
      <c r="C292" s="60">
        <v>46079.0</v>
      </c>
      <c r="D292" s="61" t="s">
        <v>246</v>
      </c>
      <c r="E292" s="62">
        <v>71.93</v>
      </c>
      <c r="F292" s="63" t="s">
        <v>40</v>
      </c>
      <c r="G292" s="64"/>
      <c r="H292" s="65"/>
      <c r="I292" s="19"/>
      <c r="J292" s="66"/>
      <c r="K292" s="66"/>
      <c r="L292" s="64"/>
      <c r="M292" s="65"/>
      <c r="N292" s="67"/>
      <c r="O292" s="30"/>
      <c r="P292" s="19"/>
    </row>
    <row r="293" ht="22.5" customHeight="1">
      <c r="A293" s="59">
        <v>8.0</v>
      </c>
      <c r="B293" s="60">
        <v>46077.0</v>
      </c>
      <c r="C293" s="60">
        <v>46079.0</v>
      </c>
      <c r="D293" s="61" t="s">
        <v>247</v>
      </c>
      <c r="E293" s="62">
        <v>-71.93</v>
      </c>
      <c r="F293" s="63" t="s">
        <v>40</v>
      </c>
      <c r="G293" s="64"/>
      <c r="H293" s="65"/>
      <c r="I293" s="19"/>
      <c r="J293" s="66"/>
      <c r="K293" s="66"/>
      <c r="L293" s="64"/>
      <c r="M293" s="65"/>
      <c r="N293" s="67"/>
      <c r="O293" s="30"/>
      <c r="P293" s="19"/>
    </row>
    <row r="294" ht="22.5" customHeight="1">
      <c r="A294" s="59">
        <v>8.0</v>
      </c>
      <c r="B294" s="60">
        <v>46076.0</v>
      </c>
      <c r="C294" s="60">
        <v>46076.0</v>
      </c>
      <c r="D294" s="61" t="s">
        <v>248</v>
      </c>
      <c r="E294" s="62">
        <v>-17.95</v>
      </c>
      <c r="F294" s="63" t="s">
        <v>40</v>
      </c>
      <c r="G294" s="64"/>
      <c r="H294" s="65"/>
      <c r="I294" s="19"/>
      <c r="J294" s="66"/>
      <c r="K294" s="66"/>
      <c r="L294" s="64"/>
      <c r="M294" s="65"/>
      <c r="N294" s="67"/>
      <c r="O294" s="30"/>
      <c r="P294" s="19"/>
    </row>
    <row r="295" ht="22.5" customHeight="1">
      <c r="A295" s="59">
        <v>8.0</v>
      </c>
      <c r="B295" s="60">
        <v>46076.0</v>
      </c>
      <c r="C295" s="60">
        <v>46076.0</v>
      </c>
      <c r="D295" s="61" t="s">
        <v>41</v>
      </c>
      <c r="E295" s="62">
        <v>-6.3</v>
      </c>
      <c r="F295" s="63" t="s">
        <v>40</v>
      </c>
      <c r="G295" s="64"/>
      <c r="H295" s="65"/>
      <c r="I295" s="19"/>
      <c r="J295" s="66"/>
      <c r="K295" s="66"/>
      <c r="L295" s="64"/>
      <c r="M295" s="65"/>
      <c r="N295" s="67"/>
      <c r="O295" s="30"/>
      <c r="P295" s="19"/>
    </row>
    <row r="296" ht="22.5" customHeight="1">
      <c r="A296" s="59">
        <v>8.0</v>
      </c>
      <c r="B296" s="60">
        <v>46076.0</v>
      </c>
      <c r="C296" s="60">
        <v>46079.0</v>
      </c>
      <c r="D296" s="61" t="s">
        <v>249</v>
      </c>
      <c r="E296" s="62">
        <v>-22.71</v>
      </c>
      <c r="F296" s="63" t="s">
        <v>70</v>
      </c>
      <c r="G296" s="64"/>
      <c r="H296" s="65"/>
      <c r="I296" s="19"/>
      <c r="J296" s="66"/>
      <c r="K296" s="66"/>
      <c r="L296" s="64"/>
      <c r="M296" s="65"/>
      <c r="N296" s="67"/>
      <c r="O296" s="30"/>
      <c r="P296" s="19"/>
    </row>
    <row r="297" ht="22.5" customHeight="1">
      <c r="A297" s="59">
        <v>8.0</v>
      </c>
      <c r="B297" s="60">
        <v>46074.0</v>
      </c>
      <c r="C297" s="60">
        <v>46074.0</v>
      </c>
      <c r="D297" s="61" t="s">
        <v>91</v>
      </c>
      <c r="E297" s="62">
        <v>-51.6</v>
      </c>
      <c r="F297" s="63" t="s">
        <v>43</v>
      </c>
      <c r="G297" s="64"/>
      <c r="H297" s="65"/>
      <c r="I297" s="19"/>
      <c r="J297" s="66"/>
      <c r="K297" s="66"/>
      <c r="L297" s="64"/>
      <c r="M297" s="65"/>
      <c r="N297" s="67"/>
      <c r="O297" s="30"/>
      <c r="P297" s="19"/>
    </row>
    <row r="298" ht="22.5" customHeight="1">
      <c r="A298" s="59">
        <v>8.0</v>
      </c>
      <c r="B298" s="60">
        <v>46074.0</v>
      </c>
      <c r="C298" s="60">
        <v>46074.0</v>
      </c>
      <c r="D298" s="61" t="s">
        <v>114</v>
      </c>
      <c r="E298" s="62">
        <v>30.0</v>
      </c>
      <c r="F298" s="63" t="s">
        <v>86</v>
      </c>
      <c r="G298" s="64"/>
      <c r="H298" s="65"/>
      <c r="I298" s="19"/>
      <c r="J298" s="66"/>
      <c r="K298" s="66"/>
      <c r="L298" s="64"/>
      <c r="M298" s="65"/>
      <c r="N298" s="67"/>
      <c r="O298" s="30"/>
      <c r="P298" s="19"/>
    </row>
    <row r="299" ht="22.5" customHeight="1">
      <c r="A299" s="59">
        <v>8.0</v>
      </c>
      <c r="B299" s="60">
        <v>46074.0</v>
      </c>
      <c r="C299" s="60">
        <v>46074.0</v>
      </c>
      <c r="D299" s="61" t="s">
        <v>37</v>
      </c>
      <c r="E299" s="62">
        <v>-43.65</v>
      </c>
      <c r="F299" s="63" t="s">
        <v>38</v>
      </c>
      <c r="G299" s="64"/>
      <c r="H299" s="65"/>
      <c r="I299" s="19"/>
      <c r="J299" s="66"/>
      <c r="K299" s="66"/>
      <c r="L299" s="64"/>
      <c r="M299" s="65"/>
      <c r="N299" s="67"/>
      <c r="O299" s="30"/>
      <c r="P299" s="19"/>
    </row>
    <row r="300" ht="22.5" customHeight="1">
      <c r="A300" s="59">
        <v>8.0</v>
      </c>
      <c r="B300" s="60">
        <v>46074.0</v>
      </c>
      <c r="C300" s="60">
        <v>46074.0</v>
      </c>
      <c r="D300" s="61" t="s">
        <v>158</v>
      </c>
      <c r="E300" s="62">
        <v>20.0</v>
      </c>
      <c r="F300" s="63" t="s">
        <v>86</v>
      </c>
      <c r="G300" s="64"/>
      <c r="H300" s="65"/>
      <c r="I300" s="19"/>
      <c r="J300" s="66"/>
      <c r="K300" s="66"/>
      <c r="L300" s="64"/>
      <c r="M300" s="65"/>
      <c r="N300" s="67"/>
      <c r="O300" s="30"/>
      <c r="P300" s="19"/>
    </row>
    <row r="301" ht="22.5" customHeight="1">
      <c r="A301" s="59">
        <v>8.0</v>
      </c>
      <c r="B301" s="60">
        <v>46073.0</v>
      </c>
      <c r="C301" s="60">
        <v>46073.0</v>
      </c>
      <c r="D301" s="61" t="s">
        <v>250</v>
      </c>
      <c r="E301" s="62">
        <v>36.0</v>
      </c>
      <c r="F301" s="63" t="s">
        <v>86</v>
      </c>
      <c r="G301" s="64"/>
      <c r="H301" s="65"/>
      <c r="I301" s="19"/>
      <c r="J301" s="66"/>
      <c r="K301" s="66"/>
      <c r="L301" s="64"/>
      <c r="M301" s="65"/>
      <c r="N301" s="67"/>
      <c r="O301" s="30"/>
      <c r="P301" s="19"/>
    </row>
    <row r="302" ht="22.5" customHeight="1">
      <c r="A302" s="59">
        <v>8.0</v>
      </c>
      <c r="B302" s="60">
        <v>46073.0</v>
      </c>
      <c r="C302" s="60">
        <v>46073.0</v>
      </c>
      <c r="D302" s="61" t="s">
        <v>41</v>
      </c>
      <c r="E302" s="62">
        <v>-17.29</v>
      </c>
      <c r="F302" s="63" t="s">
        <v>40</v>
      </c>
      <c r="G302" s="64"/>
      <c r="H302" s="65"/>
      <c r="I302" s="19"/>
      <c r="J302" s="66"/>
      <c r="K302" s="66"/>
      <c r="L302" s="64"/>
      <c r="M302" s="65"/>
      <c r="N302" s="67"/>
      <c r="O302" s="30"/>
      <c r="P302" s="19"/>
    </row>
    <row r="303" ht="22.5" customHeight="1">
      <c r="A303" s="59">
        <v>8.0</v>
      </c>
      <c r="B303" s="60">
        <v>46073.0</v>
      </c>
      <c r="C303" s="60">
        <v>46076.0</v>
      </c>
      <c r="D303" s="61" t="s">
        <v>251</v>
      </c>
      <c r="E303" s="62">
        <v>1.24</v>
      </c>
      <c r="F303" s="63" t="s">
        <v>72</v>
      </c>
      <c r="G303" s="64"/>
      <c r="H303" s="65"/>
      <c r="I303" s="19"/>
      <c r="J303" s="66"/>
      <c r="K303" s="66"/>
      <c r="L303" s="64"/>
      <c r="M303" s="65"/>
      <c r="N303" s="67"/>
      <c r="O303" s="30"/>
      <c r="P303" s="19"/>
    </row>
    <row r="304" ht="22.5" customHeight="1">
      <c r="A304" s="59">
        <v>8.0</v>
      </c>
      <c r="B304" s="60">
        <v>46073.0</v>
      </c>
      <c r="C304" s="60">
        <v>46076.0</v>
      </c>
      <c r="D304" s="61" t="s">
        <v>179</v>
      </c>
      <c r="E304" s="62">
        <v>-1.65</v>
      </c>
      <c r="F304" s="63" t="s">
        <v>72</v>
      </c>
      <c r="G304" s="64"/>
      <c r="H304" s="65"/>
      <c r="I304" s="19"/>
      <c r="J304" s="66"/>
      <c r="K304" s="66"/>
      <c r="L304" s="64"/>
      <c r="M304" s="65"/>
      <c r="N304" s="67"/>
      <c r="O304" s="30"/>
      <c r="P304" s="19"/>
    </row>
    <row r="305" ht="22.5" customHeight="1">
      <c r="A305" s="59">
        <v>8.0</v>
      </c>
      <c r="B305" s="60">
        <v>46073.0</v>
      </c>
      <c r="C305" s="60">
        <v>46075.0</v>
      </c>
      <c r="D305" s="61" t="s">
        <v>167</v>
      </c>
      <c r="E305" s="62">
        <v>-18.89</v>
      </c>
      <c r="F305" s="63" t="s">
        <v>168</v>
      </c>
      <c r="G305" s="64"/>
      <c r="H305" s="65"/>
      <c r="I305" s="19"/>
      <c r="J305" s="66"/>
      <c r="K305" s="66"/>
      <c r="L305" s="64"/>
      <c r="M305" s="65"/>
      <c r="N305" s="67"/>
      <c r="O305" s="30"/>
      <c r="P305" s="19"/>
    </row>
    <row r="306" ht="22.5" customHeight="1">
      <c r="A306" s="59">
        <v>7.0</v>
      </c>
      <c r="B306" s="60">
        <v>46072.0</v>
      </c>
      <c r="C306" s="60">
        <v>46072.0</v>
      </c>
      <c r="D306" s="61" t="s">
        <v>48</v>
      </c>
      <c r="E306" s="62">
        <v>-47.3</v>
      </c>
      <c r="F306" s="63" t="s">
        <v>49</v>
      </c>
      <c r="G306" s="64"/>
      <c r="H306" s="65"/>
      <c r="I306" s="19"/>
      <c r="J306" s="66"/>
      <c r="K306" s="66"/>
      <c r="L306" s="64"/>
      <c r="M306" s="65"/>
      <c r="N306" s="67"/>
      <c r="O306" s="30"/>
      <c r="P306" s="19"/>
    </row>
    <row r="307" ht="22.5" customHeight="1">
      <c r="A307" s="59">
        <v>7.0</v>
      </c>
      <c r="B307" s="60">
        <v>46072.0</v>
      </c>
      <c r="C307" s="60">
        <v>46075.0</v>
      </c>
      <c r="D307" s="61" t="s">
        <v>252</v>
      </c>
      <c r="E307" s="62">
        <v>-4.19</v>
      </c>
      <c r="F307" s="63" t="s">
        <v>38</v>
      </c>
      <c r="G307" s="64"/>
      <c r="H307" s="65"/>
      <c r="I307" s="19"/>
      <c r="J307" s="66"/>
      <c r="K307" s="66"/>
      <c r="L307" s="64"/>
      <c r="M307" s="65"/>
      <c r="N307" s="67"/>
      <c r="O307" s="30"/>
      <c r="P307" s="19"/>
    </row>
    <row r="308" ht="22.5" customHeight="1">
      <c r="A308" s="59">
        <v>7.0</v>
      </c>
      <c r="B308" s="60">
        <v>46071.0</v>
      </c>
      <c r="C308" s="60">
        <v>46071.0</v>
      </c>
      <c r="D308" s="61" t="s">
        <v>253</v>
      </c>
      <c r="E308" s="62">
        <v>-5.0</v>
      </c>
      <c r="F308" s="63" t="s">
        <v>142</v>
      </c>
      <c r="G308" s="64"/>
      <c r="H308" s="65"/>
      <c r="I308" s="19"/>
      <c r="J308" s="66"/>
      <c r="K308" s="66"/>
      <c r="L308" s="64"/>
      <c r="M308" s="65"/>
      <c r="N308" s="67"/>
      <c r="O308" s="30"/>
      <c r="P308" s="19"/>
    </row>
    <row r="309" ht="22.5" customHeight="1">
      <c r="A309" s="59">
        <v>7.0</v>
      </c>
      <c r="B309" s="60">
        <v>46071.0</v>
      </c>
      <c r="C309" s="60">
        <v>46071.0</v>
      </c>
      <c r="D309" s="61" t="s">
        <v>254</v>
      </c>
      <c r="E309" s="62">
        <v>-13.48</v>
      </c>
      <c r="F309" s="63" t="s">
        <v>38</v>
      </c>
      <c r="G309" s="64"/>
      <c r="H309" s="65"/>
      <c r="I309" s="19"/>
      <c r="J309" s="66"/>
      <c r="K309" s="66"/>
      <c r="L309" s="64"/>
      <c r="M309" s="65"/>
      <c r="N309" s="67"/>
      <c r="O309" s="30"/>
      <c r="P309" s="19"/>
    </row>
    <row r="310" ht="22.5" customHeight="1">
      <c r="A310" s="59">
        <v>7.0</v>
      </c>
      <c r="B310" s="60">
        <v>46071.0</v>
      </c>
      <c r="C310" s="60">
        <v>46071.0</v>
      </c>
      <c r="D310" s="61" t="s">
        <v>255</v>
      </c>
      <c r="E310" s="62">
        <v>25.99</v>
      </c>
      <c r="F310" s="63" t="s">
        <v>70</v>
      </c>
      <c r="G310" s="64"/>
      <c r="H310" s="65"/>
      <c r="I310" s="19"/>
      <c r="J310" s="66"/>
      <c r="K310" s="66"/>
      <c r="L310" s="64"/>
      <c r="M310" s="65"/>
      <c r="N310" s="67"/>
      <c r="O310" s="30"/>
      <c r="P310" s="19"/>
    </row>
    <row r="311" ht="22.5" customHeight="1">
      <c r="A311" s="59">
        <v>7.0</v>
      </c>
      <c r="B311" s="60">
        <v>46071.0</v>
      </c>
      <c r="C311" s="60">
        <v>46071.0</v>
      </c>
      <c r="D311" s="61" t="s">
        <v>99</v>
      </c>
      <c r="E311" s="62">
        <v>-3.2</v>
      </c>
      <c r="F311" s="63" t="s">
        <v>43</v>
      </c>
      <c r="G311" s="64"/>
      <c r="H311" s="65"/>
      <c r="I311" s="19"/>
      <c r="J311" s="66"/>
      <c r="K311" s="66"/>
      <c r="L311" s="64"/>
      <c r="M311" s="65"/>
      <c r="N311" s="67"/>
      <c r="O311" s="30"/>
      <c r="P311" s="19"/>
    </row>
    <row r="312" ht="22.5" customHeight="1">
      <c r="A312" s="59">
        <v>7.0</v>
      </c>
      <c r="B312" s="60">
        <v>46070.0</v>
      </c>
      <c r="C312" s="60">
        <v>46073.0</v>
      </c>
      <c r="D312" s="61" t="s">
        <v>244</v>
      </c>
      <c r="E312" s="62">
        <v>-64.14</v>
      </c>
      <c r="F312" s="63" t="s">
        <v>38</v>
      </c>
      <c r="G312" s="64"/>
      <c r="H312" s="65"/>
      <c r="I312" s="19"/>
      <c r="J312" s="66"/>
      <c r="K312" s="66"/>
      <c r="L312" s="64"/>
      <c r="M312" s="65"/>
      <c r="N312" s="67"/>
      <c r="O312" s="30"/>
      <c r="P312" s="19"/>
    </row>
    <row r="313" ht="22.5" customHeight="1">
      <c r="A313" s="59">
        <v>7.0</v>
      </c>
      <c r="B313" s="60">
        <v>46070.0</v>
      </c>
      <c r="C313" s="60">
        <v>46073.0</v>
      </c>
      <c r="D313" s="61" t="s">
        <v>256</v>
      </c>
      <c r="E313" s="62">
        <v>-3.43</v>
      </c>
      <c r="F313" s="63" t="s">
        <v>43</v>
      </c>
      <c r="G313" s="64"/>
      <c r="H313" s="65"/>
      <c r="I313" s="19"/>
      <c r="J313" s="66"/>
      <c r="K313" s="66"/>
      <c r="L313" s="64"/>
      <c r="M313" s="65"/>
      <c r="N313" s="67"/>
      <c r="O313" s="30"/>
      <c r="P313" s="19"/>
    </row>
    <row r="314" ht="22.5" customHeight="1">
      <c r="A314" s="59">
        <v>7.0</v>
      </c>
      <c r="B314" s="60">
        <v>46070.0</v>
      </c>
      <c r="C314" s="60">
        <v>46073.0</v>
      </c>
      <c r="D314" s="61" t="s">
        <v>257</v>
      </c>
      <c r="E314" s="62">
        <v>-8.99</v>
      </c>
      <c r="F314" s="63" t="s">
        <v>168</v>
      </c>
      <c r="G314" s="64"/>
      <c r="H314" s="65"/>
      <c r="I314" s="19"/>
      <c r="J314" s="66"/>
      <c r="K314" s="66"/>
      <c r="L314" s="64"/>
      <c r="M314" s="65"/>
      <c r="N314" s="67"/>
      <c r="O314" s="30"/>
      <c r="P314" s="19"/>
    </row>
    <row r="315" ht="22.5" customHeight="1">
      <c r="A315" s="59">
        <v>7.0</v>
      </c>
      <c r="B315" s="60">
        <v>46069.0</v>
      </c>
      <c r="C315" s="60">
        <v>46069.0</v>
      </c>
      <c r="D315" s="61" t="s">
        <v>39</v>
      </c>
      <c r="E315" s="62">
        <v>-15.9</v>
      </c>
      <c r="F315" s="63" t="s">
        <v>40</v>
      </c>
      <c r="G315" s="64"/>
      <c r="H315" s="65"/>
      <c r="I315" s="19"/>
      <c r="J315" s="66"/>
      <c r="K315" s="66"/>
      <c r="L315" s="64"/>
      <c r="M315" s="65"/>
      <c r="N315" s="67"/>
      <c r="O315" s="30"/>
      <c r="P315" s="19"/>
    </row>
    <row r="316" ht="22.5" customHeight="1">
      <c r="A316" s="59">
        <v>7.0</v>
      </c>
      <c r="B316" s="60">
        <v>46069.0</v>
      </c>
      <c r="C316" s="60">
        <v>46069.0</v>
      </c>
      <c r="D316" s="61" t="s">
        <v>41</v>
      </c>
      <c r="E316" s="62">
        <v>-11.3</v>
      </c>
      <c r="F316" s="63" t="s">
        <v>40</v>
      </c>
      <c r="G316" s="64"/>
      <c r="H316" s="65"/>
      <c r="I316" s="19"/>
      <c r="J316" s="66"/>
      <c r="K316" s="66"/>
      <c r="L316" s="64"/>
      <c r="M316" s="65"/>
      <c r="N316" s="67"/>
      <c r="O316" s="30"/>
      <c r="P316" s="19"/>
    </row>
    <row r="317" ht="22.5" customHeight="1">
      <c r="A317" s="59">
        <v>7.0</v>
      </c>
      <c r="B317" s="60">
        <v>46069.0</v>
      </c>
      <c r="C317" s="60">
        <v>46072.0</v>
      </c>
      <c r="D317" s="61" t="s">
        <v>258</v>
      </c>
      <c r="E317" s="62">
        <v>-26.48</v>
      </c>
      <c r="F317" s="63" t="s">
        <v>43</v>
      </c>
      <c r="G317" s="64"/>
      <c r="H317" s="65"/>
      <c r="I317" s="19"/>
      <c r="J317" s="66"/>
      <c r="K317" s="66"/>
      <c r="L317" s="64"/>
      <c r="M317" s="65"/>
      <c r="N317" s="67"/>
      <c r="O317" s="30"/>
      <c r="P317" s="19"/>
    </row>
    <row r="318" ht="22.5" customHeight="1">
      <c r="A318" s="59">
        <v>7.0</v>
      </c>
      <c r="B318" s="60">
        <v>46069.0</v>
      </c>
      <c r="C318" s="60">
        <v>46072.0</v>
      </c>
      <c r="D318" s="61" t="s">
        <v>259</v>
      </c>
      <c r="E318" s="62">
        <v>-4.1</v>
      </c>
      <c r="F318" s="63" t="s">
        <v>43</v>
      </c>
      <c r="G318" s="64"/>
      <c r="H318" s="65"/>
      <c r="I318" s="19"/>
      <c r="J318" s="66"/>
      <c r="K318" s="66"/>
      <c r="L318" s="64"/>
      <c r="M318" s="65"/>
      <c r="N318" s="67"/>
      <c r="O318" s="30"/>
      <c r="P318" s="19"/>
    </row>
    <row r="319" ht="22.5" customHeight="1">
      <c r="A319" s="59">
        <v>7.0</v>
      </c>
      <c r="B319" s="60">
        <v>46069.0</v>
      </c>
      <c r="C319" s="60">
        <v>46069.0</v>
      </c>
      <c r="D319" s="61" t="s">
        <v>260</v>
      </c>
      <c r="E319" s="62">
        <v>901.5</v>
      </c>
      <c r="F319" s="63" t="s">
        <v>64</v>
      </c>
      <c r="G319" s="64"/>
      <c r="H319" s="65"/>
      <c r="I319" s="19"/>
      <c r="J319" s="66"/>
      <c r="K319" s="66"/>
      <c r="L319" s="64"/>
      <c r="M319" s="65"/>
      <c r="N319" s="67"/>
      <c r="O319" s="30"/>
      <c r="P319" s="19"/>
    </row>
    <row r="320" ht="22.5" customHeight="1">
      <c r="A320" s="59">
        <v>7.0</v>
      </c>
      <c r="B320" s="60">
        <v>46068.0</v>
      </c>
      <c r="C320" s="60">
        <v>46068.0</v>
      </c>
      <c r="D320" s="61" t="s">
        <v>261</v>
      </c>
      <c r="E320" s="62">
        <v>-15.56</v>
      </c>
      <c r="F320" s="63" t="s">
        <v>38</v>
      </c>
      <c r="G320" s="64"/>
      <c r="H320" s="65"/>
      <c r="I320" s="19"/>
      <c r="J320" s="66"/>
      <c r="K320" s="66"/>
      <c r="L320" s="64"/>
      <c r="M320" s="65"/>
      <c r="N320" s="67"/>
      <c r="O320" s="30"/>
      <c r="P320" s="19"/>
    </row>
    <row r="321" ht="22.5" customHeight="1">
      <c r="A321" s="59">
        <v>7.0</v>
      </c>
      <c r="B321" s="60">
        <v>46066.0</v>
      </c>
      <c r="C321" s="60">
        <v>46066.0</v>
      </c>
      <c r="D321" s="61" t="s">
        <v>170</v>
      </c>
      <c r="E321" s="62">
        <v>-85.0</v>
      </c>
      <c r="F321" s="63" t="s">
        <v>38</v>
      </c>
      <c r="G321" s="64"/>
      <c r="H321" s="65"/>
      <c r="I321" s="19"/>
      <c r="J321" s="66"/>
      <c r="K321" s="66"/>
      <c r="L321" s="64"/>
      <c r="M321" s="65"/>
      <c r="N321" s="67"/>
      <c r="O321" s="30"/>
      <c r="P321" s="19"/>
    </row>
    <row r="322" ht="22.5" customHeight="1">
      <c r="A322" s="59">
        <v>7.0</v>
      </c>
      <c r="B322" s="60">
        <v>46066.0</v>
      </c>
      <c r="C322" s="60">
        <v>46066.0</v>
      </c>
      <c r="D322" s="61" t="s">
        <v>262</v>
      </c>
      <c r="E322" s="62">
        <v>-25.0</v>
      </c>
      <c r="F322" s="63" t="s">
        <v>183</v>
      </c>
      <c r="G322" s="64"/>
      <c r="H322" s="65"/>
      <c r="I322" s="19"/>
      <c r="J322" s="66"/>
      <c r="K322" s="66"/>
      <c r="L322" s="64"/>
      <c r="M322" s="65"/>
      <c r="N322" s="67"/>
      <c r="O322" s="30"/>
      <c r="P322" s="19"/>
    </row>
    <row r="323" ht="22.5" customHeight="1">
      <c r="A323" s="59">
        <v>7.0</v>
      </c>
      <c r="B323" s="60">
        <v>46066.0</v>
      </c>
      <c r="C323" s="60">
        <v>46069.0</v>
      </c>
      <c r="D323" s="61" t="s">
        <v>263</v>
      </c>
      <c r="E323" s="62">
        <v>-15.2</v>
      </c>
      <c r="F323" s="63" t="s">
        <v>40</v>
      </c>
      <c r="G323" s="64"/>
      <c r="H323" s="65"/>
      <c r="I323" s="19"/>
      <c r="J323" s="66"/>
      <c r="K323" s="66"/>
      <c r="L323" s="64"/>
      <c r="M323" s="65"/>
      <c r="N323" s="67"/>
      <c r="O323" s="30"/>
      <c r="P323" s="19"/>
    </row>
    <row r="324" ht="22.5" customHeight="1">
      <c r="A324" s="59">
        <v>6.0</v>
      </c>
      <c r="B324" s="60">
        <v>46065.0</v>
      </c>
      <c r="C324" s="60">
        <v>46068.0</v>
      </c>
      <c r="D324" s="61" t="s">
        <v>264</v>
      </c>
      <c r="E324" s="62">
        <v>-61.62</v>
      </c>
      <c r="F324" s="63" t="s">
        <v>38</v>
      </c>
      <c r="G324" s="64"/>
      <c r="H324" s="65"/>
      <c r="I324" s="19"/>
      <c r="J324" s="66"/>
      <c r="K324" s="66"/>
      <c r="L324" s="64"/>
      <c r="M324" s="65"/>
      <c r="N324" s="67"/>
      <c r="O324" s="30"/>
      <c r="P324" s="19"/>
    </row>
    <row r="325" ht="22.5" customHeight="1">
      <c r="A325" s="59">
        <v>6.0</v>
      </c>
      <c r="B325" s="60">
        <v>46065.0</v>
      </c>
      <c r="C325" s="60">
        <v>46065.0</v>
      </c>
      <c r="D325" s="61" t="s">
        <v>265</v>
      </c>
      <c r="E325" s="62">
        <v>-46.5</v>
      </c>
      <c r="F325" s="63" t="s">
        <v>183</v>
      </c>
      <c r="G325" s="64"/>
      <c r="H325" s="65"/>
      <c r="I325" s="19"/>
      <c r="J325" s="66"/>
      <c r="K325" s="66"/>
      <c r="L325" s="64"/>
      <c r="M325" s="65"/>
      <c r="N325" s="67"/>
      <c r="O325" s="30"/>
      <c r="P325" s="19"/>
    </row>
    <row r="326" ht="22.5" customHeight="1">
      <c r="A326" s="59">
        <v>6.0</v>
      </c>
      <c r="B326" s="60">
        <v>46065.0</v>
      </c>
      <c r="C326" s="60">
        <v>46068.0</v>
      </c>
      <c r="D326" s="61" t="s">
        <v>266</v>
      </c>
      <c r="E326" s="62">
        <v>-11.24</v>
      </c>
      <c r="F326" s="63" t="s">
        <v>68</v>
      </c>
      <c r="G326" s="64"/>
      <c r="H326" s="65"/>
      <c r="I326" s="19"/>
      <c r="J326" s="66"/>
      <c r="K326" s="66"/>
      <c r="L326" s="64"/>
      <c r="M326" s="65"/>
      <c r="N326" s="67"/>
      <c r="O326" s="30"/>
      <c r="P326" s="19"/>
    </row>
    <row r="327" ht="22.5" customHeight="1">
      <c r="A327" s="59">
        <v>6.0</v>
      </c>
      <c r="B327" s="60">
        <v>46064.0</v>
      </c>
      <c r="C327" s="60">
        <v>46064.0</v>
      </c>
      <c r="D327" s="61" t="s">
        <v>267</v>
      </c>
      <c r="E327" s="62">
        <v>-278.57</v>
      </c>
      <c r="F327" s="63" t="s">
        <v>268</v>
      </c>
      <c r="G327" s="64"/>
      <c r="H327" s="65"/>
      <c r="I327" s="19"/>
      <c r="J327" s="66"/>
      <c r="K327" s="66"/>
      <c r="L327" s="64"/>
      <c r="M327" s="65"/>
      <c r="N327" s="67"/>
      <c r="O327" s="30"/>
      <c r="P327" s="19"/>
    </row>
    <row r="328" ht="22.5" customHeight="1">
      <c r="A328" s="59">
        <v>6.0</v>
      </c>
      <c r="B328" s="60">
        <v>46064.0</v>
      </c>
      <c r="C328" s="60">
        <v>46067.0</v>
      </c>
      <c r="D328" s="61" t="s">
        <v>269</v>
      </c>
      <c r="E328" s="62">
        <v>-51.15</v>
      </c>
      <c r="F328" s="63" t="s">
        <v>38</v>
      </c>
      <c r="G328" s="64"/>
      <c r="H328" s="65"/>
      <c r="I328" s="19"/>
      <c r="J328" s="66"/>
      <c r="K328" s="66"/>
      <c r="L328" s="64"/>
      <c r="M328" s="65"/>
      <c r="N328" s="67"/>
      <c r="O328" s="30"/>
      <c r="P328" s="19"/>
    </row>
    <row r="329" ht="22.5" customHeight="1">
      <c r="A329" s="59">
        <v>6.0</v>
      </c>
      <c r="B329" s="60">
        <v>46064.0</v>
      </c>
      <c r="C329" s="60">
        <v>46067.0</v>
      </c>
      <c r="D329" s="61" t="s">
        <v>270</v>
      </c>
      <c r="E329" s="62">
        <v>-33.0</v>
      </c>
      <c r="F329" s="63" t="s">
        <v>62</v>
      </c>
      <c r="G329" s="64"/>
      <c r="H329" s="65"/>
      <c r="I329" s="19"/>
      <c r="J329" s="66"/>
      <c r="K329" s="66"/>
      <c r="L329" s="64"/>
      <c r="M329" s="65"/>
      <c r="N329" s="67"/>
      <c r="O329" s="30"/>
      <c r="P329" s="19"/>
    </row>
    <row r="330" ht="22.5" customHeight="1">
      <c r="A330" s="59">
        <v>6.0</v>
      </c>
      <c r="B330" s="60">
        <v>46063.0</v>
      </c>
      <c r="C330" s="60">
        <v>46066.0</v>
      </c>
      <c r="D330" s="61" t="s">
        <v>218</v>
      </c>
      <c r="E330" s="62">
        <v>-1.95</v>
      </c>
      <c r="F330" s="63" t="s">
        <v>43</v>
      </c>
      <c r="G330" s="64"/>
      <c r="H330" s="65"/>
      <c r="I330" s="19"/>
      <c r="J330" s="66"/>
      <c r="K330" s="66"/>
      <c r="L330" s="64"/>
      <c r="M330" s="65"/>
      <c r="N330" s="67"/>
      <c r="O330" s="30"/>
      <c r="P330" s="19"/>
    </row>
    <row r="331" ht="22.5" customHeight="1">
      <c r="A331" s="59">
        <v>6.0</v>
      </c>
      <c r="B331" s="60">
        <v>46062.0</v>
      </c>
      <c r="C331" s="60">
        <v>46065.0</v>
      </c>
      <c r="D331" s="61" t="s">
        <v>269</v>
      </c>
      <c r="E331" s="62">
        <v>-33.95</v>
      </c>
      <c r="F331" s="63" t="s">
        <v>38</v>
      </c>
      <c r="G331" s="64"/>
      <c r="H331" s="65"/>
      <c r="I331" s="19"/>
      <c r="J331" s="66"/>
      <c r="K331" s="66"/>
      <c r="L331" s="64"/>
      <c r="M331" s="65"/>
      <c r="N331" s="67"/>
      <c r="O331" s="30"/>
      <c r="P331" s="19"/>
    </row>
    <row r="332" ht="22.5" customHeight="1">
      <c r="A332" s="59">
        <v>6.0</v>
      </c>
      <c r="B332" s="60">
        <v>46062.0</v>
      </c>
      <c r="C332" s="60">
        <v>46065.0</v>
      </c>
      <c r="D332" s="61" t="s">
        <v>271</v>
      </c>
      <c r="E332" s="62">
        <v>-17.5</v>
      </c>
      <c r="F332" s="63" t="s">
        <v>40</v>
      </c>
      <c r="G332" s="64"/>
      <c r="H332" s="65"/>
      <c r="I332" s="19"/>
      <c r="J332" s="66"/>
      <c r="K332" s="66"/>
      <c r="L332" s="64"/>
      <c r="M332" s="65"/>
      <c r="N332" s="67"/>
      <c r="O332" s="30"/>
      <c r="P332" s="19"/>
    </row>
    <row r="333" ht="22.5" customHeight="1">
      <c r="A333" s="59">
        <v>6.0</v>
      </c>
      <c r="B333" s="60">
        <v>46062.0</v>
      </c>
      <c r="C333" s="60">
        <v>46065.0</v>
      </c>
      <c r="D333" s="61" t="s">
        <v>272</v>
      </c>
      <c r="E333" s="62">
        <v>-31.69</v>
      </c>
      <c r="F333" s="63" t="s">
        <v>168</v>
      </c>
      <c r="G333" s="64"/>
      <c r="H333" s="65"/>
      <c r="I333" s="19"/>
      <c r="J333" s="66"/>
      <c r="K333" s="66"/>
      <c r="L333" s="64"/>
      <c r="M333" s="65"/>
      <c r="N333" s="67"/>
      <c r="O333" s="30"/>
      <c r="P333" s="19"/>
    </row>
    <row r="334" ht="22.5" customHeight="1">
      <c r="A334" s="59">
        <v>6.0</v>
      </c>
      <c r="B334" s="60">
        <v>46062.0</v>
      </c>
      <c r="C334" s="60">
        <v>46065.0</v>
      </c>
      <c r="D334" s="61" t="s">
        <v>273</v>
      </c>
      <c r="E334" s="62">
        <v>-3.97</v>
      </c>
      <c r="F334" s="63" t="s">
        <v>38</v>
      </c>
      <c r="G334" s="64"/>
      <c r="H334" s="65"/>
      <c r="I334" s="19"/>
      <c r="J334" s="66"/>
      <c r="K334" s="66"/>
      <c r="L334" s="64"/>
      <c r="M334" s="65"/>
      <c r="N334" s="67"/>
      <c r="O334" s="30"/>
      <c r="P334" s="19"/>
    </row>
    <row r="335" ht="22.5" customHeight="1">
      <c r="A335" s="59">
        <v>6.0</v>
      </c>
      <c r="B335" s="60">
        <v>46062.0</v>
      </c>
      <c r="C335" s="60">
        <v>46065.0</v>
      </c>
      <c r="D335" s="61" t="s">
        <v>274</v>
      </c>
      <c r="E335" s="62">
        <v>-0.7</v>
      </c>
      <c r="F335" s="63" t="s">
        <v>43</v>
      </c>
      <c r="G335" s="64"/>
      <c r="H335" s="65"/>
      <c r="I335" s="19"/>
      <c r="J335" s="66"/>
      <c r="K335" s="66"/>
      <c r="L335" s="64"/>
      <c r="M335" s="65"/>
      <c r="N335" s="67"/>
      <c r="O335" s="30"/>
      <c r="P335" s="19"/>
    </row>
    <row r="336" ht="22.5" customHeight="1">
      <c r="A336" s="59">
        <v>6.0</v>
      </c>
      <c r="B336" s="60">
        <v>46062.0</v>
      </c>
      <c r="C336" s="60">
        <v>46064.0</v>
      </c>
      <c r="D336" s="61" t="s">
        <v>275</v>
      </c>
      <c r="E336" s="62">
        <v>-11.77</v>
      </c>
      <c r="F336" s="63" t="s">
        <v>68</v>
      </c>
      <c r="G336" s="64"/>
      <c r="H336" s="65"/>
      <c r="I336" s="19"/>
      <c r="J336" s="66"/>
      <c r="K336" s="66"/>
      <c r="L336" s="64"/>
      <c r="M336" s="65"/>
      <c r="N336" s="67"/>
      <c r="O336" s="30"/>
      <c r="P336" s="19"/>
    </row>
    <row r="337" ht="22.5" customHeight="1">
      <c r="A337" s="59">
        <v>6.0</v>
      </c>
      <c r="B337" s="60">
        <v>46062.0</v>
      </c>
      <c r="C337" s="60">
        <v>46064.0</v>
      </c>
      <c r="D337" s="61" t="s">
        <v>276</v>
      </c>
      <c r="E337" s="62">
        <v>-1.5</v>
      </c>
      <c r="F337" s="63" t="s">
        <v>72</v>
      </c>
      <c r="G337" s="64"/>
      <c r="H337" s="65"/>
      <c r="I337" s="19"/>
      <c r="J337" s="66"/>
      <c r="K337" s="66"/>
      <c r="L337" s="64"/>
      <c r="M337" s="65"/>
      <c r="N337" s="67"/>
      <c r="O337" s="30"/>
      <c r="P337" s="19"/>
    </row>
    <row r="338" ht="22.5" customHeight="1">
      <c r="A338" s="59">
        <v>6.0</v>
      </c>
      <c r="B338" s="60">
        <v>46062.0</v>
      </c>
      <c r="C338" s="60">
        <v>46064.0</v>
      </c>
      <c r="D338" s="61" t="s">
        <v>277</v>
      </c>
      <c r="E338" s="62">
        <v>-1.3</v>
      </c>
      <c r="F338" s="63" t="s">
        <v>43</v>
      </c>
      <c r="G338" s="64"/>
      <c r="H338" s="65"/>
      <c r="I338" s="19"/>
      <c r="J338" s="66"/>
      <c r="K338" s="66"/>
      <c r="L338" s="64"/>
      <c r="M338" s="65"/>
      <c r="N338" s="67"/>
      <c r="O338" s="30"/>
      <c r="P338" s="19"/>
    </row>
    <row r="339" ht="22.5" customHeight="1">
      <c r="A339" s="59">
        <v>6.0</v>
      </c>
      <c r="B339" s="60">
        <v>46062.0</v>
      </c>
      <c r="C339" s="60">
        <v>46064.0</v>
      </c>
      <c r="D339" s="61" t="s">
        <v>278</v>
      </c>
      <c r="E339" s="62">
        <v>-40.9</v>
      </c>
      <c r="F339" s="63" t="s">
        <v>70</v>
      </c>
      <c r="G339" s="64"/>
      <c r="H339" s="65"/>
      <c r="I339" s="19"/>
      <c r="J339" s="66"/>
      <c r="K339" s="66"/>
      <c r="L339" s="64"/>
      <c r="M339" s="65"/>
      <c r="N339" s="67"/>
      <c r="O339" s="30"/>
      <c r="P339" s="19"/>
    </row>
    <row r="340" ht="22.5" customHeight="1">
      <c r="A340" s="59">
        <v>6.0</v>
      </c>
      <c r="B340" s="60">
        <v>46062.0</v>
      </c>
      <c r="C340" s="60">
        <v>46064.0</v>
      </c>
      <c r="D340" s="61" t="s">
        <v>279</v>
      </c>
      <c r="E340" s="62">
        <v>-42.69</v>
      </c>
      <c r="F340" s="63" t="s">
        <v>49</v>
      </c>
      <c r="G340" s="64"/>
      <c r="H340" s="65"/>
      <c r="I340" s="19"/>
      <c r="J340" s="66"/>
      <c r="K340" s="66"/>
      <c r="L340" s="64"/>
      <c r="M340" s="65"/>
      <c r="N340" s="67"/>
      <c r="O340" s="30"/>
      <c r="P340" s="19"/>
    </row>
    <row r="341" ht="22.5" customHeight="1">
      <c r="A341" s="59">
        <v>6.0</v>
      </c>
      <c r="B341" s="60">
        <v>46062.0</v>
      </c>
      <c r="C341" s="60">
        <v>46060.0</v>
      </c>
      <c r="D341" s="61" t="s">
        <v>280</v>
      </c>
      <c r="E341" s="62">
        <v>25.0</v>
      </c>
      <c r="F341" s="63" t="s">
        <v>86</v>
      </c>
      <c r="G341" s="64"/>
      <c r="H341" s="65"/>
      <c r="I341" s="19"/>
      <c r="J341" s="66"/>
      <c r="K341" s="66"/>
      <c r="L341" s="64"/>
      <c r="M341" s="65"/>
      <c r="N341" s="67"/>
      <c r="O341" s="30"/>
      <c r="P341" s="19"/>
    </row>
    <row r="342" ht="22.5" customHeight="1">
      <c r="A342" s="59">
        <v>6.0</v>
      </c>
      <c r="B342" s="60">
        <v>46062.0</v>
      </c>
      <c r="C342" s="60">
        <v>46060.0</v>
      </c>
      <c r="D342" s="61" t="s">
        <v>281</v>
      </c>
      <c r="E342" s="62">
        <v>25.0</v>
      </c>
      <c r="F342" s="63" t="s">
        <v>86</v>
      </c>
      <c r="G342" s="64"/>
      <c r="H342" s="65"/>
      <c r="I342" s="19"/>
      <c r="J342" s="66"/>
      <c r="K342" s="66"/>
      <c r="L342" s="64"/>
      <c r="M342" s="65"/>
      <c r="N342" s="67"/>
      <c r="O342" s="30"/>
      <c r="P342" s="19"/>
    </row>
    <row r="343" ht="22.5" customHeight="1">
      <c r="A343" s="59">
        <v>6.0</v>
      </c>
      <c r="B343" s="60">
        <v>46062.0</v>
      </c>
      <c r="C343" s="60">
        <v>46060.0</v>
      </c>
      <c r="D343" s="61" t="s">
        <v>282</v>
      </c>
      <c r="E343" s="62">
        <v>25.0</v>
      </c>
      <c r="F343" s="63" t="s">
        <v>86</v>
      </c>
      <c r="G343" s="64"/>
      <c r="H343" s="65"/>
      <c r="I343" s="19"/>
      <c r="J343" s="66"/>
      <c r="K343" s="66"/>
      <c r="L343" s="64"/>
      <c r="M343" s="65"/>
      <c r="N343" s="67"/>
      <c r="O343" s="30"/>
      <c r="P343" s="19"/>
    </row>
    <row r="344" ht="22.5" customHeight="1">
      <c r="A344" s="59">
        <v>6.0</v>
      </c>
      <c r="B344" s="60">
        <v>46062.0</v>
      </c>
      <c r="C344" s="60">
        <v>46060.0</v>
      </c>
      <c r="D344" s="61" t="s">
        <v>283</v>
      </c>
      <c r="E344" s="62">
        <v>-11.0</v>
      </c>
      <c r="F344" s="63" t="s">
        <v>86</v>
      </c>
      <c r="G344" s="64"/>
      <c r="H344" s="65"/>
      <c r="I344" s="19"/>
      <c r="J344" s="66"/>
      <c r="K344" s="66"/>
      <c r="L344" s="64"/>
      <c r="M344" s="65"/>
      <c r="N344" s="67"/>
      <c r="O344" s="30"/>
      <c r="P344" s="19"/>
    </row>
    <row r="345" ht="22.5" customHeight="1">
      <c r="A345" s="59">
        <v>6.0</v>
      </c>
      <c r="B345" s="60">
        <v>46062.0</v>
      </c>
      <c r="C345" s="60">
        <v>46063.0</v>
      </c>
      <c r="D345" s="61" t="s">
        <v>284</v>
      </c>
      <c r="E345" s="62">
        <v>-9.8</v>
      </c>
      <c r="F345" s="63" t="s">
        <v>38</v>
      </c>
      <c r="G345" s="64"/>
      <c r="H345" s="65"/>
      <c r="I345" s="19"/>
      <c r="J345" s="66"/>
      <c r="K345" s="66"/>
      <c r="L345" s="64"/>
      <c r="M345" s="65"/>
      <c r="N345" s="67"/>
      <c r="O345" s="30"/>
      <c r="P345" s="19"/>
    </row>
    <row r="346" ht="22.5" customHeight="1">
      <c r="A346" s="59">
        <v>6.0</v>
      </c>
      <c r="B346" s="60">
        <v>46062.0</v>
      </c>
      <c r="C346" s="60">
        <v>46063.0</v>
      </c>
      <c r="D346" s="61" t="s">
        <v>285</v>
      </c>
      <c r="E346" s="62">
        <v>-1.75</v>
      </c>
      <c r="F346" s="63" t="s">
        <v>72</v>
      </c>
      <c r="G346" s="64"/>
      <c r="H346" s="65"/>
      <c r="I346" s="19"/>
      <c r="J346" s="66"/>
      <c r="K346" s="66"/>
      <c r="L346" s="64"/>
      <c r="M346" s="65"/>
      <c r="N346" s="67"/>
      <c r="O346" s="30"/>
      <c r="P346" s="19"/>
    </row>
    <row r="347" ht="22.5" customHeight="1">
      <c r="A347" s="59">
        <v>6.0</v>
      </c>
      <c r="B347" s="60">
        <v>46062.0</v>
      </c>
      <c r="C347" s="60">
        <v>46063.0</v>
      </c>
      <c r="D347" s="61" t="s">
        <v>286</v>
      </c>
      <c r="E347" s="62">
        <v>-6.0</v>
      </c>
      <c r="F347" s="63" t="s">
        <v>70</v>
      </c>
      <c r="G347" s="64"/>
      <c r="H347" s="65"/>
      <c r="I347" s="19"/>
      <c r="J347" s="66"/>
      <c r="K347" s="66"/>
      <c r="L347" s="64"/>
      <c r="M347" s="65"/>
      <c r="N347" s="67"/>
      <c r="O347" s="30"/>
      <c r="P347" s="19"/>
    </row>
    <row r="348" ht="22.5" customHeight="1">
      <c r="A348" s="59">
        <v>6.0</v>
      </c>
      <c r="B348" s="60">
        <v>46062.0</v>
      </c>
      <c r="C348" s="60">
        <v>46062.0</v>
      </c>
      <c r="D348" s="61" t="s">
        <v>215</v>
      </c>
      <c r="E348" s="62">
        <v>-21.29</v>
      </c>
      <c r="F348" s="63" t="s">
        <v>216</v>
      </c>
      <c r="G348" s="64"/>
      <c r="H348" s="65"/>
      <c r="I348" s="19"/>
      <c r="J348" s="66"/>
      <c r="K348" s="66"/>
      <c r="L348" s="64"/>
      <c r="M348" s="65"/>
      <c r="N348" s="67"/>
      <c r="O348" s="30"/>
      <c r="P348" s="19"/>
    </row>
    <row r="349" ht="22.5" customHeight="1">
      <c r="A349" s="59">
        <v>6.0</v>
      </c>
      <c r="B349" s="60">
        <v>46059.0</v>
      </c>
      <c r="C349" s="60">
        <v>46059.0</v>
      </c>
      <c r="D349" s="61" t="s">
        <v>287</v>
      </c>
      <c r="E349" s="62">
        <v>-600.0</v>
      </c>
      <c r="F349" s="63" t="s">
        <v>173</v>
      </c>
      <c r="G349" s="64"/>
      <c r="H349" s="65"/>
      <c r="I349" s="19"/>
      <c r="J349" s="66"/>
      <c r="K349" s="66"/>
      <c r="L349" s="64"/>
      <c r="M349" s="65"/>
      <c r="N349" s="67"/>
      <c r="O349" s="30"/>
      <c r="P349" s="19"/>
    </row>
    <row r="350" ht="22.5" customHeight="1">
      <c r="A350" s="59">
        <v>6.0</v>
      </c>
      <c r="B350" s="60">
        <v>46059.0</v>
      </c>
      <c r="C350" s="60">
        <v>46062.0</v>
      </c>
      <c r="D350" s="61" t="s">
        <v>288</v>
      </c>
      <c r="E350" s="62">
        <v>-5.0</v>
      </c>
      <c r="F350" s="63" t="s">
        <v>43</v>
      </c>
      <c r="G350" s="64"/>
      <c r="H350" s="65"/>
      <c r="I350" s="19"/>
      <c r="J350" s="66"/>
      <c r="K350" s="66"/>
      <c r="L350" s="64"/>
      <c r="M350" s="65"/>
      <c r="N350" s="67"/>
      <c r="O350" s="30"/>
      <c r="P350" s="19"/>
    </row>
    <row r="351" ht="22.5" customHeight="1">
      <c r="A351" s="59">
        <v>6.0</v>
      </c>
      <c r="B351" s="60">
        <v>46059.0</v>
      </c>
      <c r="C351" s="60">
        <v>46062.0</v>
      </c>
      <c r="D351" s="61" t="s">
        <v>263</v>
      </c>
      <c r="E351" s="62">
        <v>-17.1</v>
      </c>
      <c r="F351" s="63" t="s">
        <v>40</v>
      </c>
      <c r="G351" s="64"/>
      <c r="H351" s="65"/>
      <c r="I351" s="19"/>
      <c r="J351" s="66"/>
      <c r="K351" s="66"/>
      <c r="L351" s="64"/>
      <c r="M351" s="65"/>
      <c r="N351" s="67"/>
      <c r="O351" s="30"/>
      <c r="P351" s="19"/>
    </row>
    <row r="352" ht="22.5" customHeight="1">
      <c r="A352" s="59">
        <v>6.0</v>
      </c>
      <c r="B352" s="60">
        <v>46059.0</v>
      </c>
      <c r="C352" s="60">
        <v>46062.0</v>
      </c>
      <c r="D352" s="61" t="s">
        <v>289</v>
      </c>
      <c r="E352" s="62">
        <v>-1.95</v>
      </c>
      <c r="F352" s="63" t="s">
        <v>43</v>
      </c>
      <c r="G352" s="64"/>
      <c r="H352" s="65"/>
      <c r="I352" s="19"/>
      <c r="J352" s="66"/>
      <c r="K352" s="66"/>
      <c r="L352" s="64"/>
      <c r="M352" s="65"/>
      <c r="N352" s="67"/>
      <c r="O352" s="30"/>
      <c r="P352" s="19"/>
    </row>
    <row r="353" ht="22.5" customHeight="1">
      <c r="A353" s="59">
        <v>6.0</v>
      </c>
      <c r="B353" s="60">
        <v>46058.0</v>
      </c>
      <c r="C353" s="60">
        <v>46061.0</v>
      </c>
      <c r="D353" s="61" t="s">
        <v>273</v>
      </c>
      <c r="E353" s="62">
        <v>-25.88</v>
      </c>
      <c r="F353" s="63" t="s">
        <v>38</v>
      </c>
      <c r="G353" s="64"/>
      <c r="H353" s="65"/>
      <c r="I353" s="19"/>
      <c r="J353" s="66"/>
      <c r="K353" s="66"/>
      <c r="L353" s="64"/>
      <c r="M353" s="65"/>
      <c r="N353" s="67"/>
      <c r="O353" s="30"/>
      <c r="P353" s="19"/>
    </row>
    <row r="354" ht="22.5" customHeight="1">
      <c r="A354" s="59">
        <v>6.0</v>
      </c>
      <c r="B354" s="60">
        <v>46058.0</v>
      </c>
      <c r="C354" s="60">
        <v>46058.0</v>
      </c>
      <c r="D354" s="61" t="s">
        <v>227</v>
      </c>
      <c r="E354" s="62">
        <v>-20.0</v>
      </c>
      <c r="F354" s="63" t="s">
        <v>88</v>
      </c>
      <c r="G354" s="64"/>
      <c r="H354" s="65"/>
      <c r="I354" s="19"/>
      <c r="J354" s="66"/>
      <c r="K354" s="66"/>
      <c r="L354" s="64"/>
      <c r="M354" s="65"/>
      <c r="N354" s="67"/>
      <c r="O354" s="30"/>
      <c r="P354" s="19"/>
    </row>
    <row r="355" ht="22.5" customHeight="1">
      <c r="A355" s="59">
        <v>5.0</v>
      </c>
      <c r="B355" s="60">
        <v>46057.0</v>
      </c>
      <c r="C355" s="60">
        <v>46057.0</v>
      </c>
      <c r="D355" s="61" t="s">
        <v>290</v>
      </c>
      <c r="E355" s="62">
        <v>-118.48</v>
      </c>
      <c r="F355" s="63" t="s">
        <v>206</v>
      </c>
      <c r="G355" s="64"/>
      <c r="H355" s="65"/>
      <c r="I355" s="19"/>
      <c r="J355" s="66"/>
      <c r="K355" s="66"/>
      <c r="L355" s="64"/>
      <c r="M355" s="65"/>
      <c r="N355" s="67"/>
      <c r="O355" s="30"/>
      <c r="P355" s="19"/>
    </row>
    <row r="356" ht="22.5" customHeight="1">
      <c r="A356" s="59">
        <v>5.0</v>
      </c>
      <c r="B356" s="60">
        <v>46057.0</v>
      </c>
      <c r="C356" s="60">
        <v>46060.0</v>
      </c>
      <c r="D356" s="61" t="s">
        <v>291</v>
      </c>
      <c r="E356" s="62">
        <v>-10.55</v>
      </c>
      <c r="F356" s="63" t="s">
        <v>38</v>
      </c>
      <c r="G356" s="64"/>
      <c r="H356" s="65"/>
      <c r="I356" s="19"/>
      <c r="J356" s="66"/>
      <c r="K356" s="66"/>
      <c r="L356" s="64"/>
      <c r="M356" s="65"/>
      <c r="N356" s="67"/>
      <c r="O356" s="30"/>
      <c r="P356" s="19"/>
    </row>
    <row r="357" ht="22.5" customHeight="1">
      <c r="A357" s="59">
        <v>5.0</v>
      </c>
      <c r="B357" s="60">
        <v>46057.0</v>
      </c>
      <c r="C357" s="60">
        <v>46060.0</v>
      </c>
      <c r="D357" s="61" t="s">
        <v>292</v>
      </c>
      <c r="E357" s="62">
        <v>-273.75</v>
      </c>
      <c r="F357" s="63" t="s">
        <v>70</v>
      </c>
      <c r="G357" s="64"/>
      <c r="H357" s="65"/>
      <c r="I357" s="19"/>
      <c r="J357" s="66"/>
      <c r="K357" s="66"/>
      <c r="L357" s="64"/>
      <c r="M357" s="65"/>
      <c r="N357" s="67"/>
      <c r="O357" s="30"/>
      <c r="P357" s="19"/>
    </row>
    <row r="358" ht="22.5" customHeight="1">
      <c r="A358" s="59">
        <v>5.0</v>
      </c>
      <c r="B358" s="60">
        <v>46057.0</v>
      </c>
      <c r="C358" s="60">
        <v>46059.0</v>
      </c>
      <c r="D358" s="61" t="s">
        <v>293</v>
      </c>
      <c r="E358" s="62">
        <v>-12.0</v>
      </c>
      <c r="F358" s="63" t="s">
        <v>40</v>
      </c>
      <c r="G358" s="64"/>
      <c r="H358" s="65"/>
      <c r="I358" s="19"/>
      <c r="J358" s="66"/>
      <c r="K358" s="66"/>
      <c r="L358" s="64"/>
      <c r="M358" s="65"/>
      <c r="N358" s="67"/>
      <c r="O358" s="30"/>
      <c r="P358" s="19"/>
    </row>
    <row r="359" ht="22.5" customHeight="1">
      <c r="A359" s="59">
        <v>5.0</v>
      </c>
      <c r="B359" s="60">
        <v>46056.0</v>
      </c>
      <c r="C359" s="60">
        <v>46059.0</v>
      </c>
      <c r="D359" s="61" t="s">
        <v>273</v>
      </c>
      <c r="E359" s="62">
        <v>-33.65</v>
      </c>
      <c r="F359" s="63" t="s">
        <v>38</v>
      </c>
      <c r="G359" s="64"/>
      <c r="H359" s="65"/>
      <c r="I359" s="19"/>
      <c r="J359" s="66"/>
      <c r="K359" s="66"/>
      <c r="L359" s="64"/>
      <c r="M359" s="65"/>
      <c r="N359" s="67"/>
      <c r="O359" s="30"/>
      <c r="P359" s="19"/>
    </row>
    <row r="360" ht="22.5" customHeight="1">
      <c r="A360" s="59">
        <v>5.0</v>
      </c>
      <c r="B360" s="60">
        <v>46056.0</v>
      </c>
      <c r="C360" s="60">
        <v>46059.0</v>
      </c>
      <c r="D360" s="61" t="s">
        <v>274</v>
      </c>
      <c r="E360" s="62">
        <v>-0.7</v>
      </c>
      <c r="F360" s="63" t="s">
        <v>43</v>
      </c>
      <c r="G360" s="64"/>
      <c r="H360" s="65"/>
      <c r="I360" s="19"/>
      <c r="J360" s="66"/>
      <c r="K360" s="66"/>
      <c r="L360" s="64"/>
      <c r="M360" s="65"/>
      <c r="N360" s="67"/>
      <c r="O360" s="30"/>
      <c r="P360" s="19"/>
    </row>
    <row r="361" ht="22.5" customHeight="1">
      <c r="A361" s="59">
        <v>5.0</v>
      </c>
      <c r="B361" s="60">
        <v>46056.0</v>
      </c>
      <c r="C361" s="60">
        <v>46059.0</v>
      </c>
      <c r="D361" s="61" t="s">
        <v>294</v>
      </c>
      <c r="E361" s="62">
        <v>-13.9</v>
      </c>
      <c r="F361" s="63" t="s">
        <v>40</v>
      </c>
      <c r="G361" s="64"/>
      <c r="H361" s="65"/>
      <c r="I361" s="19"/>
      <c r="J361" s="66"/>
      <c r="K361" s="66"/>
      <c r="L361" s="64"/>
      <c r="M361" s="65"/>
      <c r="N361" s="67"/>
      <c r="O361" s="30"/>
      <c r="P361" s="19"/>
    </row>
    <row r="362" ht="22.5" customHeight="1">
      <c r="A362" s="59">
        <v>5.0</v>
      </c>
      <c r="B362" s="60">
        <v>46056.0</v>
      </c>
      <c r="C362" s="60">
        <v>46059.0</v>
      </c>
      <c r="D362" s="61" t="s">
        <v>218</v>
      </c>
      <c r="E362" s="62">
        <v>-1.95</v>
      </c>
      <c r="F362" s="63" t="s">
        <v>43</v>
      </c>
      <c r="G362" s="64"/>
      <c r="H362" s="65"/>
      <c r="I362" s="19"/>
      <c r="J362" s="66"/>
      <c r="K362" s="66"/>
      <c r="L362" s="64"/>
      <c r="M362" s="65"/>
      <c r="N362" s="67"/>
      <c r="O362" s="30"/>
      <c r="P362" s="19"/>
    </row>
    <row r="363" ht="22.5" customHeight="1">
      <c r="A363" s="59">
        <v>5.0</v>
      </c>
      <c r="B363" s="60">
        <v>46056.0</v>
      </c>
      <c r="C363" s="60">
        <v>46059.0</v>
      </c>
      <c r="D363" s="61" t="s">
        <v>295</v>
      </c>
      <c r="E363" s="62">
        <v>-0.15</v>
      </c>
      <c r="F363" s="63" t="s">
        <v>72</v>
      </c>
      <c r="G363" s="64"/>
      <c r="H363" s="65"/>
      <c r="I363" s="19"/>
      <c r="J363" s="66"/>
      <c r="K363" s="66"/>
      <c r="L363" s="64"/>
      <c r="M363" s="65"/>
      <c r="N363" s="67"/>
      <c r="O363" s="30"/>
      <c r="P363" s="19"/>
    </row>
    <row r="364" ht="22.5" customHeight="1">
      <c r="A364" s="59">
        <v>5.0</v>
      </c>
      <c r="B364" s="60">
        <v>46056.0</v>
      </c>
      <c r="C364" s="60">
        <v>46058.0</v>
      </c>
      <c r="D364" s="61" t="s">
        <v>296</v>
      </c>
      <c r="E364" s="62">
        <v>0.38</v>
      </c>
      <c r="F364" s="63" t="s">
        <v>72</v>
      </c>
      <c r="G364" s="64"/>
      <c r="H364" s="65"/>
      <c r="I364" s="19"/>
      <c r="J364" s="66"/>
      <c r="K364" s="66"/>
      <c r="L364" s="64"/>
      <c r="M364" s="65"/>
      <c r="N364" s="67"/>
      <c r="O364" s="30"/>
      <c r="P364" s="19"/>
    </row>
    <row r="365" ht="22.5" customHeight="1">
      <c r="A365" s="59">
        <v>5.0</v>
      </c>
      <c r="B365" s="60">
        <v>46055.0</v>
      </c>
      <c r="C365" s="60">
        <v>46058.0</v>
      </c>
      <c r="D365" s="61" t="s">
        <v>179</v>
      </c>
      <c r="E365" s="62">
        <v>-1.6</v>
      </c>
      <c r="F365" s="63" t="s">
        <v>72</v>
      </c>
      <c r="G365" s="64"/>
      <c r="H365" s="65"/>
      <c r="I365" s="19"/>
      <c r="J365" s="66"/>
      <c r="K365" s="66"/>
      <c r="L365" s="64"/>
      <c r="M365" s="65"/>
      <c r="N365" s="67"/>
      <c r="O365" s="30"/>
      <c r="P365" s="19"/>
    </row>
    <row r="366" ht="22.5" customHeight="1">
      <c r="A366" s="59">
        <v>5.0</v>
      </c>
      <c r="B366" s="60">
        <v>46055.0</v>
      </c>
      <c r="C366" s="60">
        <v>46055.0</v>
      </c>
      <c r="D366" s="61" t="s">
        <v>297</v>
      </c>
      <c r="E366" s="62">
        <v>65.0</v>
      </c>
      <c r="F366" s="63" t="s">
        <v>86</v>
      </c>
      <c r="G366" s="64"/>
      <c r="H366" s="65"/>
      <c r="I366" s="19"/>
      <c r="J366" s="66"/>
      <c r="K366" s="66"/>
      <c r="L366" s="64"/>
      <c r="M366" s="65"/>
      <c r="N366" s="67"/>
      <c r="O366" s="30"/>
      <c r="P366" s="19"/>
    </row>
    <row r="367" ht="22.5" customHeight="1">
      <c r="A367" s="59">
        <v>5.0</v>
      </c>
      <c r="B367" s="60">
        <v>46055.0</v>
      </c>
      <c r="C367" s="60">
        <v>46058.0</v>
      </c>
      <c r="D367" s="61" t="s">
        <v>271</v>
      </c>
      <c r="E367" s="62">
        <v>-15.9</v>
      </c>
      <c r="F367" s="63" t="s">
        <v>40</v>
      </c>
      <c r="G367" s="64"/>
      <c r="H367" s="65"/>
      <c r="I367" s="19"/>
      <c r="J367" s="66"/>
      <c r="K367" s="66"/>
      <c r="L367" s="64"/>
      <c r="M367" s="65"/>
      <c r="N367" s="67"/>
      <c r="O367" s="30"/>
      <c r="P367" s="19"/>
    </row>
    <row r="368" ht="22.5" customHeight="1">
      <c r="A368" s="59">
        <v>5.0</v>
      </c>
      <c r="B368" s="60">
        <v>46055.0</v>
      </c>
      <c r="C368" s="60">
        <v>46058.0</v>
      </c>
      <c r="D368" s="61" t="s">
        <v>263</v>
      </c>
      <c r="E368" s="62">
        <v>-6.55</v>
      </c>
      <c r="F368" s="63" t="s">
        <v>40</v>
      </c>
      <c r="G368" s="64"/>
      <c r="H368" s="65"/>
      <c r="I368" s="19"/>
      <c r="J368" s="66"/>
      <c r="K368" s="66"/>
      <c r="L368" s="64"/>
      <c r="M368" s="65"/>
      <c r="N368" s="67"/>
      <c r="O368" s="30"/>
      <c r="P368" s="19"/>
    </row>
    <row r="369" ht="22.5" customHeight="1">
      <c r="A369" s="59">
        <v>5.0</v>
      </c>
      <c r="B369" s="60">
        <v>46055.0</v>
      </c>
      <c r="C369" s="60">
        <v>46058.0</v>
      </c>
      <c r="D369" s="61" t="s">
        <v>279</v>
      </c>
      <c r="E369" s="62">
        <v>-40.0</v>
      </c>
      <c r="F369" s="63" t="s">
        <v>49</v>
      </c>
      <c r="G369" s="64"/>
      <c r="H369" s="65"/>
      <c r="I369" s="19"/>
      <c r="J369" s="66"/>
      <c r="K369" s="66"/>
      <c r="L369" s="64"/>
      <c r="M369" s="65"/>
      <c r="N369" s="67"/>
      <c r="O369" s="30"/>
      <c r="P369" s="19"/>
    </row>
    <row r="370" ht="22.5" customHeight="1">
      <c r="A370" s="59">
        <v>5.0</v>
      </c>
      <c r="B370" s="60">
        <v>46055.0</v>
      </c>
      <c r="C370" s="60">
        <v>46057.0</v>
      </c>
      <c r="D370" s="61" t="s">
        <v>298</v>
      </c>
      <c r="E370" s="62">
        <v>-29.0</v>
      </c>
      <c r="F370" s="63" t="s">
        <v>43</v>
      </c>
      <c r="G370" s="64"/>
      <c r="H370" s="65"/>
      <c r="I370" s="19"/>
      <c r="J370" s="66"/>
      <c r="K370" s="66"/>
      <c r="L370" s="64"/>
      <c r="M370" s="65"/>
      <c r="N370" s="67"/>
      <c r="O370" s="30"/>
      <c r="P370" s="19"/>
    </row>
    <row r="371" ht="22.5" customHeight="1">
      <c r="A371" s="59">
        <v>5.0</v>
      </c>
      <c r="B371" s="60">
        <v>46055.0</v>
      </c>
      <c r="C371" s="60">
        <v>46056.0</v>
      </c>
      <c r="D371" s="61" t="s">
        <v>269</v>
      </c>
      <c r="E371" s="62">
        <v>-9.81</v>
      </c>
      <c r="F371" s="63" t="s">
        <v>38</v>
      </c>
      <c r="G371" s="64"/>
      <c r="H371" s="65"/>
      <c r="I371" s="19"/>
      <c r="J371" s="66"/>
      <c r="K371" s="66"/>
      <c r="L371" s="64"/>
      <c r="M371" s="65"/>
      <c r="N371" s="67"/>
      <c r="O371" s="30"/>
      <c r="P371" s="19"/>
    </row>
    <row r="372" ht="22.5" customHeight="1">
      <c r="A372" s="59">
        <v>5.0</v>
      </c>
      <c r="B372" s="60">
        <v>46055.0</v>
      </c>
      <c r="C372" s="60">
        <v>46056.0</v>
      </c>
      <c r="D372" s="61" t="s">
        <v>258</v>
      </c>
      <c r="E372" s="62">
        <v>-24.02</v>
      </c>
      <c r="F372" s="63" t="s">
        <v>43</v>
      </c>
      <c r="G372" s="64"/>
      <c r="H372" s="65"/>
      <c r="I372" s="19"/>
      <c r="J372" s="66"/>
      <c r="K372" s="66"/>
      <c r="L372" s="64"/>
      <c r="M372" s="65"/>
      <c r="N372" s="67"/>
      <c r="O372" s="30"/>
      <c r="P372" s="19"/>
    </row>
    <row r="373" ht="22.5" customHeight="1">
      <c r="A373" s="59">
        <v>5.0</v>
      </c>
      <c r="B373" s="60">
        <v>46055.0</v>
      </c>
      <c r="C373" s="60">
        <v>46056.0</v>
      </c>
      <c r="D373" s="61" t="s">
        <v>299</v>
      </c>
      <c r="E373" s="62">
        <v>-2.25</v>
      </c>
      <c r="F373" s="63" t="s">
        <v>70</v>
      </c>
      <c r="G373" s="64"/>
      <c r="H373" s="65"/>
      <c r="I373" s="19"/>
      <c r="J373" s="66"/>
      <c r="K373" s="66"/>
      <c r="L373" s="64"/>
      <c r="M373" s="65"/>
      <c r="N373" s="67"/>
      <c r="O373" s="30"/>
      <c r="P373" s="19"/>
    </row>
    <row r="374" ht="22.5" customHeight="1">
      <c r="A374" s="59">
        <v>5.0</v>
      </c>
      <c r="B374" s="60">
        <v>46055.0</v>
      </c>
      <c r="C374" s="60">
        <v>46056.0</v>
      </c>
      <c r="D374" s="61" t="s">
        <v>300</v>
      </c>
      <c r="E374" s="62">
        <v>-30.0</v>
      </c>
      <c r="F374" s="63" t="s">
        <v>56</v>
      </c>
      <c r="G374" s="64"/>
      <c r="H374" s="65"/>
      <c r="I374" s="19"/>
      <c r="J374" s="66"/>
      <c r="K374" s="66"/>
      <c r="L374" s="64"/>
      <c r="M374" s="65"/>
      <c r="N374" s="67"/>
      <c r="O374" s="30"/>
      <c r="P374" s="19"/>
    </row>
    <row r="375" ht="22.5" customHeight="1">
      <c r="A375" s="59">
        <v>5.0</v>
      </c>
      <c r="B375" s="60">
        <v>46055.0</v>
      </c>
      <c r="C375" s="60">
        <v>46056.0</v>
      </c>
      <c r="D375" s="61" t="s">
        <v>301</v>
      </c>
      <c r="E375" s="62">
        <v>-4.0</v>
      </c>
      <c r="F375" s="63" t="s">
        <v>70</v>
      </c>
      <c r="G375" s="64"/>
      <c r="H375" s="65"/>
      <c r="I375" s="19"/>
      <c r="J375" s="66"/>
      <c r="K375" s="66"/>
      <c r="L375" s="64"/>
      <c r="M375" s="65"/>
      <c r="N375" s="67"/>
      <c r="O375" s="30"/>
      <c r="P375" s="19"/>
    </row>
    <row r="376" ht="22.5" customHeight="1">
      <c r="A376" s="59">
        <v>5.0</v>
      </c>
      <c r="B376" s="60">
        <v>46055.0</v>
      </c>
      <c r="C376" s="60">
        <v>46055.0</v>
      </c>
      <c r="D376" s="61" t="s">
        <v>302</v>
      </c>
      <c r="E376" s="62">
        <v>-300.0</v>
      </c>
      <c r="F376" s="63" t="s">
        <v>173</v>
      </c>
      <c r="G376" s="64"/>
      <c r="H376" s="65"/>
      <c r="I376" s="19"/>
      <c r="J376" s="66"/>
      <c r="K376" s="66"/>
      <c r="L376" s="64"/>
      <c r="M376" s="65"/>
      <c r="N376" s="67"/>
      <c r="O376" s="30"/>
      <c r="P376" s="19"/>
    </row>
    <row r="377" ht="22.5" customHeight="1">
      <c r="A377" s="59">
        <v>5.0</v>
      </c>
      <c r="B377" s="60">
        <v>46055.0</v>
      </c>
      <c r="C377" s="60">
        <v>46056.0</v>
      </c>
      <c r="D377" s="61" t="s">
        <v>303</v>
      </c>
      <c r="E377" s="62">
        <v>-170.0</v>
      </c>
      <c r="F377" s="63" t="s">
        <v>62</v>
      </c>
      <c r="G377" s="64"/>
      <c r="H377" s="65"/>
      <c r="I377" s="19"/>
      <c r="J377" s="66"/>
      <c r="K377" s="66"/>
      <c r="L377" s="64"/>
      <c r="M377" s="65"/>
      <c r="N377" s="67"/>
      <c r="O377" s="30"/>
      <c r="P377" s="19"/>
    </row>
    <row r="378" ht="22.5" customHeight="1">
      <c r="A378" s="59">
        <v>5.0</v>
      </c>
      <c r="B378" s="60">
        <v>46055.0</v>
      </c>
      <c r="C378" s="60">
        <v>46052.0</v>
      </c>
      <c r="D378" s="61" t="s">
        <v>304</v>
      </c>
      <c r="E378" s="62">
        <v>80.0</v>
      </c>
      <c r="F378" s="63" t="s">
        <v>86</v>
      </c>
      <c r="G378" s="64"/>
      <c r="H378" s="65"/>
      <c r="I378" s="19"/>
      <c r="J378" s="66"/>
      <c r="K378" s="66"/>
      <c r="L378" s="64"/>
      <c r="M378" s="65"/>
      <c r="N378" s="67"/>
      <c r="O378" s="30"/>
      <c r="P378" s="19"/>
    </row>
    <row r="379" ht="22.5" customHeight="1">
      <c r="A379" s="59">
        <v>5.0</v>
      </c>
      <c r="B379" s="60">
        <v>46054.0</v>
      </c>
      <c r="C379" s="60">
        <v>46054.0</v>
      </c>
      <c r="D379" s="61" t="s">
        <v>305</v>
      </c>
      <c r="E379" s="62">
        <v>-122.58</v>
      </c>
      <c r="F379" s="63" t="s">
        <v>144</v>
      </c>
      <c r="G379" s="64"/>
      <c r="H379" s="65"/>
      <c r="I379" s="19"/>
      <c r="J379" s="66"/>
      <c r="K379" s="66"/>
      <c r="L379" s="64"/>
      <c r="M379" s="65"/>
      <c r="N379" s="67"/>
      <c r="O379" s="30"/>
      <c r="P379" s="19"/>
    </row>
    <row r="380" ht="22.5" customHeight="1">
      <c r="A380" s="59">
        <v>5.0</v>
      </c>
      <c r="B380" s="60">
        <v>46052.0</v>
      </c>
      <c r="C380" s="60">
        <v>46052.0</v>
      </c>
      <c r="D380" s="61" t="s">
        <v>306</v>
      </c>
      <c r="E380" s="62">
        <v>701.07</v>
      </c>
      <c r="F380" s="63" t="s">
        <v>154</v>
      </c>
      <c r="G380" s="64"/>
      <c r="H380" s="65"/>
      <c r="I380" s="19"/>
      <c r="J380" s="66"/>
      <c r="K380" s="66"/>
      <c r="L380" s="64"/>
      <c r="M380" s="65"/>
      <c r="N380" s="67"/>
      <c r="O380" s="30"/>
      <c r="P380" s="19"/>
    </row>
    <row r="381" ht="22.5" customHeight="1">
      <c r="A381" s="59">
        <v>5.0</v>
      </c>
      <c r="B381" s="60">
        <v>46052.0</v>
      </c>
      <c r="C381" s="60">
        <v>46052.0</v>
      </c>
      <c r="D381" s="61" t="s">
        <v>307</v>
      </c>
      <c r="E381" s="62">
        <v>-600.0</v>
      </c>
      <c r="F381" s="63" t="s">
        <v>173</v>
      </c>
      <c r="G381" s="64"/>
      <c r="H381" s="65"/>
      <c r="I381" s="19"/>
      <c r="J381" s="66"/>
      <c r="K381" s="66"/>
      <c r="L381" s="64"/>
      <c r="M381" s="65"/>
      <c r="N381" s="67"/>
      <c r="O381" s="30"/>
      <c r="P381" s="19"/>
    </row>
    <row r="382" ht="22.5" customHeight="1">
      <c r="A382" s="59">
        <v>5.0</v>
      </c>
      <c r="B382" s="60">
        <v>46052.0</v>
      </c>
      <c r="C382" s="60">
        <v>46055.0</v>
      </c>
      <c r="D382" s="61" t="s">
        <v>308</v>
      </c>
      <c r="E382" s="62">
        <v>-13.95</v>
      </c>
      <c r="F382" s="63" t="s">
        <v>68</v>
      </c>
      <c r="G382" s="64"/>
      <c r="H382" s="65"/>
      <c r="I382" s="19"/>
      <c r="J382" s="66"/>
      <c r="K382" s="66"/>
      <c r="L382" s="64"/>
      <c r="M382" s="65"/>
      <c r="N382" s="67"/>
      <c r="O382" s="30"/>
      <c r="P382" s="19"/>
    </row>
    <row r="383" ht="22.5" customHeight="1">
      <c r="A383" s="59">
        <v>5.0</v>
      </c>
      <c r="B383" s="60">
        <v>46052.0</v>
      </c>
      <c r="C383" s="60">
        <v>46052.0</v>
      </c>
      <c r="D383" s="61" t="s">
        <v>309</v>
      </c>
      <c r="E383" s="62">
        <v>-194.64</v>
      </c>
      <c r="F383" s="63" t="s">
        <v>66</v>
      </c>
      <c r="G383" s="64"/>
      <c r="H383" s="65"/>
      <c r="I383" s="19"/>
      <c r="J383" s="66"/>
      <c r="K383" s="66"/>
      <c r="L383" s="64"/>
      <c r="M383" s="65"/>
      <c r="N383" s="67"/>
      <c r="O383" s="30"/>
      <c r="P383" s="19"/>
    </row>
    <row r="384" ht="22.5" customHeight="1">
      <c r="A384" s="59">
        <v>5.0</v>
      </c>
      <c r="B384" s="60">
        <v>46052.0</v>
      </c>
      <c r="C384" s="60">
        <v>46055.0</v>
      </c>
      <c r="D384" s="61" t="s">
        <v>263</v>
      </c>
      <c r="E384" s="62">
        <v>-13.1</v>
      </c>
      <c r="F384" s="63" t="s">
        <v>40</v>
      </c>
      <c r="G384" s="64"/>
      <c r="H384" s="65"/>
      <c r="I384" s="19"/>
      <c r="J384" s="66"/>
      <c r="K384" s="66"/>
      <c r="L384" s="64"/>
      <c r="M384" s="65"/>
      <c r="N384" s="67"/>
      <c r="O384" s="30"/>
      <c r="P384" s="19"/>
    </row>
    <row r="385" ht="22.5" customHeight="1">
      <c r="A385" s="59">
        <v>5.0</v>
      </c>
      <c r="B385" s="60">
        <v>46052.0</v>
      </c>
      <c r="C385" s="60">
        <v>46055.0</v>
      </c>
      <c r="D385" s="61" t="s">
        <v>218</v>
      </c>
      <c r="E385" s="62">
        <v>-1.95</v>
      </c>
      <c r="F385" s="63" t="s">
        <v>43</v>
      </c>
      <c r="G385" s="64"/>
      <c r="H385" s="65"/>
      <c r="I385" s="19"/>
      <c r="J385" s="66"/>
      <c r="K385" s="66"/>
      <c r="L385" s="64"/>
      <c r="M385" s="65"/>
      <c r="N385" s="67"/>
      <c r="O385" s="30"/>
      <c r="P385" s="19"/>
    </row>
    <row r="386" ht="22.5" customHeight="1">
      <c r="A386" s="59">
        <v>5.0</v>
      </c>
      <c r="B386" s="60">
        <v>46052.0</v>
      </c>
      <c r="C386" s="60">
        <v>46052.0</v>
      </c>
      <c r="D386" s="61" t="s">
        <v>310</v>
      </c>
      <c r="E386" s="62">
        <v>-65.0</v>
      </c>
      <c r="F386" s="63" t="s">
        <v>311</v>
      </c>
      <c r="G386" s="64"/>
      <c r="H386" s="65"/>
      <c r="I386" s="19"/>
      <c r="J386" s="66"/>
      <c r="K386" s="66"/>
      <c r="L386" s="64"/>
      <c r="M386" s="65"/>
      <c r="N386" s="67"/>
      <c r="O386" s="30"/>
      <c r="P386" s="19"/>
    </row>
    <row r="387" ht="22.5" customHeight="1">
      <c r="A387" s="59">
        <v>5.0</v>
      </c>
      <c r="B387" s="60">
        <v>46052.0</v>
      </c>
      <c r="C387" s="60">
        <v>46053.0</v>
      </c>
      <c r="D387" s="61" t="s">
        <v>312</v>
      </c>
      <c r="E387" s="62">
        <v>-233.03</v>
      </c>
      <c r="F387" s="63" t="s">
        <v>146</v>
      </c>
    </row>
    <row r="388" ht="22.5" customHeight="1">
      <c r="A388" s="59">
        <v>5.0</v>
      </c>
      <c r="B388" s="60">
        <v>46052.0</v>
      </c>
      <c r="C388" s="60">
        <v>46052.0</v>
      </c>
      <c r="D388" s="61" t="s">
        <v>313</v>
      </c>
      <c r="E388" s="62">
        <v>1993.92</v>
      </c>
      <c r="F388" s="63" t="s">
        <v>154</v>
      </c>
    </row>
    <row r="389" ht="22.5" customHeight="1">
      <c r="A389" s="59">
        <v>5.0</v>
      </c>
      <c r="B389" s="60">
        <v>46051.0</v>
      </c>
      <c r="C389" s="60">
        <v>46054.0</v>
      </c>
      <c r="D389" s="61" t="s">
        <v>314</v>
      </c>
      <c r="E389" s="62">
        <v>-27.0</v>
      </c>
      <c r="F389" s="63" t="s">
        <v>43</v>
      </c>
    </row>
    <row r="390" ht="22.5" customHeight="1">
      <c r="A390" s="59">
        <v>5.0</v>
      </c>
      <c r="B390" s="60">
        <v>46051.0</v>
      </c>
      <c r="C390" s="60">
        <v>46054.0</v>
      </c>
      <c r="D390" s="61" t="s">
        <v>315</v>
      </c>
      <c r="E390" s="62">
        <v>0.79</v>
      </c>
      <c r="F390" s="63" t="s">
        <v>72</v>
      </c>
    </row>
    <row r="391" ht="22.5" customHeight="1">
      <c r="A391" s="59">
        <v>5.0</v>
      </c>
      <c r="B391" s="60">
        <v>46051.0</v>
      </c>
      <c r="C391" s="60">
        <v>46054.0</v>
      </c>
      <c r="D391" s="61" t="s">
        <v>179</v>
      </c>
      <c r="E391" s="62">
        <v>-2.6</v>
      </c>
      <c r="F391" s="63" t="s">
        <v>72</v>
      </c>
    </row>
    <row r="392" ht="22.5" customHeight="1">
      <c r="A392" s="59">
        <v>5.0</v>
      </c>
      <c r="B392" s="60">
        <v>46051.0</v>
      </c>
      <c r="C392" s="60">
        <v>46054.0</v>
      </c>
      <c r="D392" s="61" t="s">
        <v>316</v>
      </c>
      <c r="E392" s="62">
        <v>-15.0</v>
      </c>
      <c r="F392" s="63" t="s">
        <v>49</v>
      </c>
    </row>
    <row r="393" ht="22.5" customHeight="1">
      <c r="A393" s="59">
        <v>5.0</v>
      </c>
      <c r="B393" s="60">
        <v>46051.0</v>
      </c>
      <c r="C393" s="60">
        <v>46053.0</v>
      </c>
      <c r="D393" s="61" t="s">
        <v>317</v>
      </c>
      <c r="E393" s="62">
        <v>-8.54</v>
      </c>
      <c r="F393" s="63" t="s">
        <v>168</v>
      </c>
    </row>
    <row r="394" ht="22.5" customHeight="1">
      <c r="A394" s="59">
        <v>4.0</v>
      </c>
      <c r="B394" s="60">
        <v>46050.0</v>
      </c>
      <c r="C394" s="60">
        <v>46053.0</v>
      </c>
      <c r="D394" s="61" t="s">
        <v>318</v>
      </c>
      <c r="E394" s="62">
        <v>-2.43</v>
      </c>
      <c r="F394" s="63" t="s">
        <v>43</v>
      </c>
    </row>
    <row r="395" ht="22.5" customHeight="1">
      <c r="A395" s="59">
        <v>4.0</v>
      </c>
      <c r="B395" s="60">
        <v>46049.0</v>
      </c>
      <c r="C395" s="60">
        <v>46052.0</v>
      </c>
      <c r="D395" s="61" t="s">
        <v>179</v>
      </c>
      <c r="E395" s="62">
        <v>-1.8</v>
      </c>
      <c r="F395" s="63" t="s">
        <v>72</v>
      </c>
    </row>
    <row r="396" ht="22.5" customHeight="1">
      <c r="A396" s="59">
        <v>4.0</v>
      </c>
      <c r="B396" s="60">
        <v>46049.0</v>
      </c>
      <c r="C396" s="60">
        <v>46052.0</v>
      </c>
      <c r="D396" s="61" t="s">
        <v>263</v>
      </c>
      <c r="E396" s="62">
        <v>-9.0</v>
      </c>
      <c r="F396" s="63" t="s">
        <v>40</v>
      </c>
    </row>
    <row r="397" ht="22.5" customHeight="1">
      <c r="A397" s="59">
        <v>4.0</v>
      </c>
      <c r="B397" s="60">
        <v>46049.0</v>
      </c>
      <c r="C397" s="60">
        <v>46052.0</v>
      </c>
      <c r="D397" s="61" t="s">
        <v>263</v>
      </c>
      <c r="E397" s="62">
        <v>-6.3</v>
      </c>
      <c r="F397" s="63" t="s">
        <v>40</v>
      </c>
    </row>
    <row r="398" ht="22.5" customHeight="1">
      <c r="A398" s="59">
        <v>4.0</v>
      </c>
      <c r="B398" s="60">
        <v>46049.0</v>
      </c>
      <c r="C398" s="60">
        <v>46051.0</v>
      </c>
      <c r="D398" s="61" t="s">
        <v>319</v>
      </c>
      <c r="E398" s="62">
        <v>-5.65</v>
      </c>
      <c r="F398" s="63" t="s">
        <v>38</v>
      </c>
    </row>
    <row r="399" ht="22.5" customHeight="1">
      <c r="A399" s="59">
        <v>4.0</v>
      </c>
      <c r="B399" s="60">
        <v>46048.0</v>
      </c>
      <c r="C399" s="60">
        <v>46051.0</v>
      </c>
      <c r="D399" s="61" t="s">
        <v>320</v>
      </c>
      <c r="E399" s="62">
        <v>-20.0</v>
      </c>
      <c r="F399" s="63" t="s">
        <v>66</v>
      </c>
    </row>
    <row r="400" ht="22.5" customHeight="1">
      <c r="A400" s="59">
        <v>4.0</v>
      </c>
      <c r="B400" s="60">
        <v>46048.0</v>
      </c>
      <c r="C400" s="60">
        <v>46051.0</v>
      </c>
      <c r="D400" s="61" t="s">
        <v>179</v>
      </c>
      <c r="E400" s="62">
        <v>-1.95</v>
      </c>
      <c r="F400" s="63" t="s">
        <v>72</v>
      </c>
    </row>
    <row r="401" ht="22.5" customHeight="1">
      <c r="A401" s="59">
        <v>4.0</v>
      </c>
      <c r="B401" s="60">
        <v>46048.0</v>
      </c>
      <c r="C401" s="60">
        <v>46048.0</v>
      </c>
      <c r="D401" s="61" t="s">
        <v>321</v>
      </c>
      <c r="E401" s="62">
        <v>-45.0</v>
      </c>
      <c r="F401" s="63" t="s">
        <v>47</v>
      </c>
    </row>
    <row r="402" ht="22.5" customHeight="1">
      <c r="A402" s="59">
        <v>4.0</v>
      </c>
      <c r="B402" s="60">
        <v>46048.0</v>
      </c>
      <c r="C402" s="60">
        <v>46049.0</v>
      </c>
      <c r="D402" s="61" t="s">
        <v>322</v>
      </c>
      <c r="E402" s="62">
        <v>0.73</v>
      </c>
      <c r="F402" s="63" t="s">
        <v>72</v>
      </c>
    </row>
    <row r="403" ht="22.5" customHeight="1">
      <c r="A403" s="59">
        <v>4.0</v>
      </c>
      <c r="B403" s="60">
        <v>46048.0</v>
      </c>
      <c r="C403" s="60">
        <v>46049.0</v>
      </c>
      <c r="D403" s="61" t="s">
        <v>179</v>
      </c>
      <c r="E403" s="62">
        <v>-1.65</v>
      </c>
      <c r="F403" s="63" t="s">
        <v>72</v>
      </c>
    </row>
    <row r="404" ht="22.5" customHeight="1">
      <c r="A404" s="59">
        <v>4.0</v>
      </c>
      <c r="B404" s="60">
        <v>46048.0</v>
      </c>
      <c r="C404" s="60">
        <v>46049.0</v>
      </c>
      <c r="D404" s="61" t="s">
        <v>323</v>
      </c>
      <c r="E404" s="62">
        <v>-97.6</v>
      </c>
      <c r="F404" s="63" t="s">
        <v>38</v>
      </c>
    </row>
    <row r="405" ht="22.5" customHeight="1">
      <c r="A405" s="59">
        <v>4.0</v>
      </c>
      <c r="B405" s="60">
        <v>46048.0</v>
      </c>
      <c r="C405" s="60">
        <v>46048.0</v>
      </c>
      <c r="D405" s="61" t="s">
        <v>231</v>
      </c>
      <c r="E405" s="62">
        <v>-19.49</v>
      </c>
      <c r="F405" s="63" t="s">
        <v>43</v>
      </c>
    </row>
    <row r="406" ht="22.5" customHeight="1">
      <c r="A406" s="59">
        <v>4.0</v>
      </c>
      <c r="B406" s="60">
        <v>46045.0</v>
      </c>
      <c r="C406" s="60">
        <v>46048.0</v>
      </c>
      <c r="D406" s="61" t="s">
        <v>324</v>
      </c>
      <c r="E406" s="62">
        <v>-9.66</v>
      </c>
      <c r="F406" s="63" t="s">
        <v>43</v>
      </c>
    </row>
    <row r="407" ht="22.5" customHeight="1">
      <c r="A407" s="59">
        <v>4.0</v>
      </c>
      <c r="B407" s="60">
        <v>46045.0</v>
      </c>
      <c r="C407" s="60">
        <v>46048.0</v>
      </c>
      <c r="D407" s="61" t="s">
        <v>179</v>
      </c>
      <c r="E407" s="62">
        <v>-0.2</v>
      </c>
      <c r="F407" s="63" t="s">
        <v>72</v>
      </c>
    </row>
    <row r="408" ht="22.5" customHeight="1">
      <c r="A408" s="59">
        <v>4.0</v>
      </c>
      <c r="B408" s="60">
        <v>46045.0</v>
      </c>
      <c r="C408" s="60">
        <v>46048.0</v>
      </c>
      <c r="D408" s="61" t="s">
        <v>325</v>
      </c>
      <c r="E408" s="62">
        <v>-93.66</v>
      </c>
      <c r="F408" s="63" t="s">
        <v>56</v>
      </c>
    </row>
    <row r="409" ht="22.5" customHeight="1">
      <c r="A409" s="59">
        <v>4.0</v>
      </c>
      <c r="B409" s="60">
        <v>46045.0</v>
      </c>
      <c r="C409" s="60">
        <v>46048.0</v>
      </c>
      <c r="D409" s="61" t="s">
        <v>326</v>
      </c>
      <c r="E409" s="62">
        <v>-25.0</v>
      </c>
      <c r="F409" s="63" t="s">
        <v>66</v>
      </c>
    </row>
    <row r="410" ht="22.5" customHeight="1">
      <c r="A410" s="59">
        <v>4.0</v>
      </c>
      <c r="B410" s="60">
        <v>46045.0</v>
      </c>
      <c r="C410" s="60">
        <v>46048.0</v>
      </c>
      <c r="D410" s="61" t="s">
        <v>327</v>
      </c>
      <c r="E410" s="62">
        <v>-1.5</v>
      </c>
      <c r="F410" s="63" t="s">
        <v>43</v>
      </c>
    </row>
    <row r="411" ht="22.5" customHeight="1">
      <c r="A411" s="59">
        <v>4.0</v>
      </c>
      <c r="B411" s="60">
        <v>46044.0</v>
      </c>
      <c r="C411" s="60">
        <v>46047.0</v>
      </c>
      <c r="D411" s="61" t="s">
        <v>328</v>
      </c>
      <c r="E411" s="62">
        <v>0.5</v>
      </c>
      <c r="F411" s="63" t="s">
        <v>72</v>
      </c>
    </row>
    <row r="412" ht="22.5" customHeight="1">
      <c r="A412" s="59">
        <v>4.0</v>
      </c>
      <c r="B412" s="60">
        <v>46044.0</v>
      </c>
      <c r="C412" s="60">
        <v>46047.0</v>
      </c>
      <c r="D412" s="61" t="s">
        <v>179</v>
      </c>
      <c r="E412" s="62">
        <v>-0.65</v>
      </c>
      <c r="F412" s="63" t="s">
        <v>72</v>
      </c>
    </row>
    <row r="413" ht="22.5" customHeight="1">
      <c r="A413" s="59">
        <v>4.0</v>
      </c>
      <c r="B413" s="60">
        <v>46044.0</v>
      </c>
      <c r="C413" s="60">
        <v>46047.0</v>
      </c>
      <c r="D413" s="61" t="s">
        <v>329</v>
      </c>
      <c r="E413" s="62">
        <v>-9.33</v>
      </c>
      <c r="F413" s="63" t="s">
        <v>56</v>
      </c>
    </row>
    <row r="414" ht="22.5" customHeight="1">
      <c r="A414" s="59">
        <v>4.0</v>
      </c>
      <c r="B414" s="60">
        <v>46044.0</v>
      </c>
      <c r="C414" s="60">
        <v>46047.0</v>
      </c>
      <c r="D414" s="61" t="s">
        <v>329</v>
      </c>
      <c r="E414" s="62">
        <v>-9.33</v>
      </c>
      <c r="F414" s="63" t="s">
        <v>56</v>
      </c>
    </row>
    <row r="415" ht="22.5" customHeight="1">
      <c r="A415" s="59">
        <v>4.0</v>
      </c>
      <c r="B415" s="60">
        <v>46044.0</v>
      </c>
      <c r="C415" s="60">
        <v>46047.0</v>
      </c>
      <c r="D415" s="61" t="s">
        <v>329</v>
      </c>
      <c r="E415" s="62">
        <v>-9.33</v>
      </c>
      <c r="F415" s="63" t="s">
        <v>56</v>
      </c>
    </row>
    <row r="416" ht="22.5" customHeight="1">
      <c r="A416" s="59">
        <v>4.0</v>
      </c>
      <c r="B416" s="60">
        <v>46044.0</v>
      </c>
      <c r="C416" s="60">
        <v>46047.0</v>
      </c>
      <c r="D416" s="61" t="s">
        <v>327</v>
      </c>
      <c r="E416" s="62">
        <v>-3.7</v>
      </c>
      <c r="F416" s="63" t="s">
        <v>43</v>
      </c>
    </row>
    <row r="417" ht="22.5" customHeight="1">
      <c r="A417" s="59">
        <v>4.0</v>
      </c>
      <c r="B417" s="60">
        <v>46044.0</v>
      </c>
      <c r="C417" s="60">
        <v>46046.0</v>
      </c>
      <c r="D417" s="61" t="s">
        <v>329</v>
      </c>
      <c r="E417" s="62">
        <v>-9.37</v>
      </c>
      <c r="F417" s="63" t="s">
        <v>56</v>
      </c>
    </row>
    <row r="418" ht="22.5" customHeight="1">
      <c r="A418" s="59">
        <v>4.0</v>
      </c>
      <c r="B418" s="60">
        <v>46044.0</v>
      </c>
      <c r="C418" s="60">
        <v>46046.0</v>
      </c>
      <c r="D418" s="61" t="s">
        <v>330</v>
      </c>
      <c r="E418" s="62">
        <v>-103.48</v>
      </c>
      <c r="F418" s="63" t="s">
        <v>56</v>
      </c>
    </row>
    <row r="419" ht="22.5" customHeight="1">
      <c r="A419" s="59">
        <v>3.0</v>
      </c>
      <c r="B419" s="60">
        <v>46043.0</v>
      </c>
      <c r="C419" s="60">
        <v>46046.0</v>
      </c>
      <c r="D419" s="61" t="s">
        <v>179</v>
      </c>
      <c r="E419" s="62">
        <v>-0.25</v>
      </c>
      <c r="F419" s="63" t="s">
        <v>72</v>
      </c>
    </row>
    <row r="420" ht="22.5" customHeight="1">
      <c r="A420" s="59">
        <v>3.0</v>
      </c>
      <c r="B420" s="60">
        <v>46043.0</v>
      </c>
      <c r="C420" s="60">
        <v>46046.0</v>
      </c>
      <c r="D420" s="61" t="s">
        <v>179</v>
      </c>
      <c r="E420" s="62">
        <v>-0.2</v>
      </c>
      <c r="F420" s="63" t="s">
        <v>72</v>
      </c>
    </row>
    <row r="421" ht="22.5" customHeight="1">
      <c r="A421" s="59">
        <v>3.0</v>
      </c>
      <c r="B421" s="60">
        <v>46043.0</v>
      </c>
      <c r="C421" s="60">
        <v>46043.0</v>
      </c>
      <c r="D421" s="61" t="s">
        <v>331</v>
      </c>
      <c r="E421" s="62">
        <v>32.0</v>
      </c>
      <c r="F421" s="63" t="s">
        <v>86</v>
      </c>
    </row>
    <row r="422" ht="22.5" customHeight="1">
      <c r="A422" s="59">
        <v>3.0</v>
      </c>
      <c r="B422" s="60">
        <v>46043.0</v>
      </c>
      <c r="C422" s="60">
        <v>46046.0</v>
      </c>
      <c r="D422" s="61" t="s">
        <v>325</v>
      </c>
      <c r="E422" s="62">
        <v>-414.48</v>
      </c>
      <c r="F422" s="63" t="s">
        <v>56</v>
      </c>
    </row>
    <row r="423" ht="22.5" customHeight="1">
      <c r="A423" s="59">
        <v>3.0</v>
      </c>
      <c r="B423" s="60">
        <v>46043.0</v>
      </c>
      <c r="C423" s="60">
        <v>46046.0</v>
      </c>
      <c r="D423" s="61" t="s">
        <v>332</v>
      </c>
      <c r="E423" s="62">
        <v>-70.9</v>
      </c>
      <c r="F423" s="63" t="s">
        <v>188</v>
      </c>
    </row>
    <row r="424" ht="22.5" customHeight="1">
      <c r="A424" s="59">
        <v>3.0</v>
      </c>
      <c r="B424" s="60">
        <v>46042.0</v>
      </c>
      <c r="C424" s="60">
        <v>46045.0</v>
      </c>
      <c r="D424" s="61" t="s">
        <v>333</v>
      </c>
      <c r="E424" s="62">
        <v>-21.0</v>
      </c>
      <c r="F424" s="63" t="s">
        <v>40</v>
      </c>
    </row>
    <row r="425" ht="22.5" customHeight="1">
      <c r="A425" s="59">
        <v>3.0</v>
      </c>
      <c r="B425" s="60">
        <v>46042.0</v>
      </c>
      <c r="C425" s="60">
        <v>46045.0</v>
      </c>
      <c r="D425" s="61" t="s">
        <v>263</v>
      </c>
      <c r="E425" s="62">
        <v>-6.3</v>
      </c>
      <c r="F425" s="63" t="s">
        <v>40</v>
      </c>
    </row>
    <row r="426" ht="22.5" customHeight="1">
      <c r="A426" s="59">
        <v>3.0</v>
      </c>
      <c r="B426" s="60">
        <v>46041.0</v>
      </c>
      <c r="C426" s="60">
        <v>46044.0</v>
      </c>
      <c r="D426" s="61" t="s">
        <v>333</v>
      </c>
      <c r="E426" s="62">
        <v>-22.4</v>
      </c>
      <c r="F426" s="63" t="s">
        <v>40</v>
      </c>
    </row>
    <row r="427" ht="22.5" customHeight="1">
      <c r="A427" s="59">
        <v>3.0</v>
      </c>
      <c r="B427" s="60">
        <v>46041.0</v>
      </c>
      <c r="C427" s="60">
        <v>46044.0</v>
      </c>
      <c r="D427" s="61" t="s">
        <v>334</v>
      </c>
      <c r="E427" s="62">
        <v>-2.99</v>
      </c>
      <c r="F427" s="63" t="s">
        <v>40</v>
      </c>
    </row>
    <row r="428" ht="22.5" customHeight="1">
      <c r="A428" s="59">
        <v>3.0</v>
      </c>
      <c r="B428" s="60">
        <v>46041.0</v>
      </c>
      <c r="C428" s="60">
        <v>46044.0</v>
      </c>
      <c r="D428" s="61" t="s">
        <v>263</v>
      </c>
      <c r="E428" s="62">
        <v>-6.3</v>
      </c>
      <c r="F428" s="63" t="s">
        <v>40</v>
      </c>
    </row>
    <row r="429" ht="22.5" customHeight="1">
      <c r="A429" s="59">
        <v>3.0</v>
      </c>
      <c r="B429" s="60">
        <v>46041.0</v>
      </c>
      <c r="C429" s="60">
        <v>46041.0</v>
      </c>
      <c r="D429" s="61" t="s">
        <v>191</v>
      </c>
      <c r="E429" s="62">
        <v>100.0</v>
      </c>
      <c r="F429" s="63" t="s">
        <v>192</v>
      </c>
    </row>
    <row r="430" ht="22.5" customHeight="1">
      <c r="A430" s="59">
        <v>3.0</v>
      </c>
      <c r="B430" s="60">
        <v>46041.0</v>
      </c>
      <c r="C430" s="60">
        <v>46043.0</v>
      </c>
      <c r="D430" s="61" t="s">
        <v>279</v>
      </c>
      <c r="E430" s="62">
        <v>-46.8</v>
      </c>
      <c r="F430" s="63" t="s">
        <v>49</v>
      </c>
    </row>
    <row r="431" ht="22.5" customHeight="1">
      <c r="A431" s="59">
        <v>3.0</v>
      </c>
      <c r="B431" s="60">
        <v>46041.0</v>
      </c>
      <c r="C431" s="60">
        <v>46043.0</v>
      </c>
      <c r="D431" s="61" t="s">
        <v>335</v>
      </c>
      <c r="E431" s="62">
        <v>-5.1</v>
      </c>
      <c r="F431" s="63" t="s">
        <v>72</v>
      </c>
    </row>
    <row r="432" ht="22.5" customHeight="1">
      <c r="A432" s="59">
        <v>3.0</v>
      </c>
      <c r="B432" s="60">
        <v>46041.0</v>
      </c>
      <c r="C432" s="60">
        <v>46042.0</v>
      </c>
      <c r="D432" s="61" t="s">
        <v>336</v>
      </c>
      <c r="E432" s="62">
        <v>-16.96</v>
      </c>
      <c r="F432" s="63" t="s">
        <v>38</v>
      </c>
    </row>
    <row r="433" ht="22.5" customHeight="1">
      <c r="A433" s="59">
        <v>3.0</v>
      </c>
      <c r="B433" s="60">
        <v>46038.0</v>
      </c>
      <c r="C433" s="60">
        <v>46041.0</v>
      </c>
      <c r="D433" s="61" t="s">
        <v>337</v>
      </c>
      <c r="E433" s="62">
        <v>-36.08</v>
      </c>
      <c r="F433" s="63" t="s">
        <v>38</v>
      </c>
    </row>
    <row r="434" ht="22.5" customHeight="1">
      <c r="A434" s="59">
        <v>3.0</v>
      </c>
      <c r="B434" s="60">
        <v>46038.0</v>
      </c>
      <c r="C434" s="60">
        <v>46038.0</v>
      </c>
      <c r="D434" s="61" t="s">
        <v>338</v>
      </c>
      <c r="E434" s="62">
        <v>2.2</v>
      </c>
      <c r="F434" s="63" t="s">
        <v>86</v>
      </c>
    </row>
    <row r="435" ht="22.5" customHeight="1">
      <c r="A435" s="59">
        <v>3.0</v>
      </c>
      <c r="B435" s="60">
        <v>46038.0</v>
      </c>
      <c r="C435" s="60">
        <v>46041.0</v>
      </c>
      <c r="D435" s="61" t="s">
        <v>334</v>
      </c>
      <c r="E435" s="62">
        <v>-7.39</v>
      </c>
      <c r="F435" s="63" t="s">
        <v>40</v>
      </c>
    </row>
    <row r="436" ht="22.5" customHeight="1">
      <c r="A436" s="59">
        <v>3.0</v>
      </c>
      <c r="B436" s="60">
        <v>46038.0</v>
      </c>
      <c r="C436" s="60">
        <v>46041.0</v>
      </c>
      <c r="D436" s="61" t="s">
        <v>263</v>
      </c>
      <c r="E436" s="62">
        <v>-12.15</v>
      </c>
      <c r="F436" s="63" t="s">
        <v>40</v>
      </c>
    </row>
    <row r="437" ht="22.5" customHeight="1">
      <c r="A437" s="59">
        <v>3.0</v>
      </c>
      <c r="B437" s="60">
        <v>46037.0</v>
      </c>
      <c r="C437" s="60">
        <v>46040.0</v>
      </c>
      <c r="D437" s="61" t="s">
        <v>337</v>
      </c>
      <c r="E437" s="62">
        <v>-64.03</v>
      </c>
      <c r="F437" s="63" t="s">
        <v>38</v>
      </c>
    </row>
    <row r="438" ht="22.5" customHeight="1">
      <c r="A438" s="59">
        <v>3.0</v>
      </c>
      <c r="B438" s="60">
        <v>46037.0</v>
      </c>
      <c r="C438" s="60">
        <v>46040.0</v>
      </c>
      <c r="D438" s="61" t="s">
        <v>339</v>
      </c>
      <c r="E438" s="62">
        <v>-5.2</v>
      </c>
      <c r="F438" s="63" t="s">
        <v>72</v>
      </c>
    </row>
    <row r="439" ht="22.5" customHeight="1">
      <c r="A439" s="59">
        <v>3.0</v>
      </c>
      <c r="B439" s="60">
        <v>46037.0</v>
      </c>
      <c r="C439" s="60">
        <v>46040.0</v>
      </c>
      <c r="D439" s="61" t="s">
        <v>340</v>
      </c>
      <c r="E439" s="62">
        <v>-2.05</v>
      </c>
      <c r="F439" s="63" t="s">
        <v>43</v>
      </c>
    </row>
    <row r="440" ht="22.5" customHeight="1">
      <c r="A440" s="59">
        <v>3.0</v>
      </c>
      <c r="B440" s="60">
        <v>46037.0</v>
      </c>
      <c r="C440" s="60">
        <v>46037.0</v>
      </c>
      <c r="D440" s="61" t="s">
        <v>341</v>
      </c>
      <c r="E440" s="62">
        <v>-44.94</v>
      </c>
      <c r="F440" s="63" t="s">
        <v>206</v>
      </c>
    </row>
    <row r="441" ht="22.5" customHeight="1">
      <c r="A441" s="59">
        <v>3.0</v>
      </c>
      <c r="B441" s="60">
        <v>46037.0</v>
      </c>
      <c r="C441" s="60">
        <v>46039.0</v>
      </c>
      <c r="D441" s="61" t="s">
        <v>342</v>
      </c>
      <c r="E441" s="62">
        <v>-44.0</v>
      </c>
      <c r="F441" s="63" t="s">
        <v>101</v>
      </c>
    </row>
    <row r="442" ht="22.5" customHeight="1">
      <c r="A442" s="59">
        <v>3.0</v>
      </c>
      <c r="B442" s="60">
        <v>46037.0</v>
      </c>
      <c r="C442" s="60">
        <v>46039.0</v>
      </c>
      <c r="D442" s="61" t="s">
        <v>21</v>
      </c>
      <c r="E442" s="62">
        <v>-100.94</v>
      </c>
      <c r="F442" s="63" t="s">
        <v>70</v>
      </c>
    </row>
    <row r="443" ht="22.5" customHeight="1">
      <c r="A443" s="59">
        <v>2.0</v>
      </c>
      <c r="B443" s="60">
        <v>46036.0</v>
      </c>
      <c r="C443" s="60">
        <v>46039.0</v>
      </c>
      <c r="D443" s="61" t="s">
        <v>343</v>
      </c>
      <c r="E443" s="62">
        <v>-6.55</v>
      </c>
      <c r="F443" s="63" t="s">
        <v>43</v>
      </c>
    </row>
    <row r="444" ht="22.5" customHeight="1">
      <c r="A444" s="59">
        <v>2.0</v>
      </c>
      <c r="B444" s="60">
        <v>46036.0</v>
      </c>
      <c r="C444" s="60">
        <v>46039.0</v>
      </c>
      <c r="D444" s="61" t="s">
        <v>344</v>
      </c>
      <c r="E444" s="62">
        <v>-3.2</v>
      </c>
      <c r="F444" s="63" t="s">
        <v>43</v>
      </c>
    </row>
    <row r="445" ht="22.5" customHeight="1">
      <c r="A445" s="59">
        <v>2.0</v>
      </c>
      <c r="B445" s="60">
        <v>46036.0</v>
      </c>
      <c r="C445" s="60">
        <v>46038.0</v>
      </c>
      <c r="D445" s="61" t="s">
        <v>345</v>
      </c>
      <c r="E445" s="62">
        <v>-4.99</v>
      </c>
      <c r="F445" s="63" t="s">
        <v>142</v>
      </c>
    </row>
    <row r="446" ht="22.5" customHeight="1">
      <c r="A446" s="59">
        <v>2.0</v>
      </c>
      <c r="B446" s="60">
        <v>46035.0</v>
      </c>
      <c r="C446" s="60">
        <v>46038.0</v>
      </c>
      <c r="D446" s="61" t="s">
        <v>256</v>
      </c>
      <c r="E446" s="62">
        <v>-1.58</v>
      </c>
      <c r="F446" s="63" t="s">
        <v>43</v>
      </c>
    </row>
    <row r="447" ht="22.5" customHeight="1">
      <c r="A447" s="59">
        <v>2.0</v>
      </c>
      <c r="B447" s="60">
        <v>46035.0</v>
      </c>
      <c r="C447" s="60">
        <v>46038.0</v>
      </c>
      <c r="D447" s="61" t="s">
        <v>271</v>
      </c>
      <c r="E447" s="62">
        <v>-15.9</v>
      </c>
      <c r="F447" s="63" t="s">
        <v>40</v>
      </c>
    </row>
    <row r="448" ht="22.5" customHeight="1">
      <c r="A448" s="59">
        <v>2.0</v>
      </c>
      <c r="B448" s="60">
        <v>46035.0</v>
      </c>
      <c r="C448" s="60">
        <v>46038.0</v>
      </c>
      <c r="D448" s="61" t="s">
        <v>263</v>
      </c>
      <c r="E448" s="62">
        <v>-6.3</v>
      </c>
      <c r="F448" s="63" t="s">
        <v>40</v>
      </c>
    </row>
    <row r="449" ht="22.5" customHeight="1">
      <c r="A449" s="59">
        <v>2.0</v>
      </c>
      <c r="B449" s="60">
        <v>46034.0</v>
      </c>
      <c r="C449" s="60">
        <v>46037.0</v>
      </c>
      <c r="D449" s="61" t="s">
        <v>346</v>
      </c>
      <c r="E449" s="62">
        <v>-14.9</v>
      </c>
      <c r="F449" s="63" t="s">
        <v>43</v>
      </c>
    </row>
    <row r="450" ht="22.5" customHeight="1">
      <c r="A450" s="59">
        <v>2.0</v>
      </c>
      <c r="B450" s="60">
        <v>46034.0</v>
      </c>
      <c r="C450" s="60">
        <v>46037.0</v>
      </c>
      <c r="D450" s="61" t="s">
        <v>263</v>
      </c>
      <c r="E450" s="62">
        <v>-6.3</v>
      </c>
      <c r="F450" s="63" t="s">
        <v>40</v>
      </c>
    </row>
    <row r="451" ht="22.5" customHeight="1">
      <c r="A451" s="59">
        <v>2.0</v>
      </c>
      <c r="B451" s="60">
        <v>46034.0</v>
      </c>
      <c r="C451" s="60">
        <v>46034.0</v>
      </c>
      <c r="D451" s="61" t="s">
        <v>347</v>
      </c>
      <c r="E451" s="62">
        <v>-11.71</v>
      </c>
      <c r="F451" s="63" t="s">
        <v>268</v>
      </c>
    </row>
    <row r="452" ht="22.5" customHeight="1">
      <c r="A452" s="59">
        <v>2.0</v>
      </c>
      <c r="B452" s="60">
        <v>46034.0</v>
      </c>
      <c r="C452" s="60">
        <v>46033.0</v>
      </c>
      <c r="D452" s="61" t="s">
        <v>348</v>
      </c>
      <c r="E452" s="62">
        <v>21.12</v>
      </c>
      <c r="F452" s="63" t="s">
        <v>86</v>
      </c>
    </row>
    <row r="453" ht="22.5" customHeight="1">
      <c r="A453" s="59">
        <v>2.0</v>
      </c>
      <c r="B453" s="60">
        <v>46034.0</v>
      </c>
      <c r="C453" s="60">
        <v>46036.0</v>
      </c>
      <c r="D453" s="61" t="s">
        <v>231</v>
      </c>
      <c r="E453" s="62">
        <v>-20.77</v>
      </c>
      <c r="F453" s="63" t="s">
        <v>43</v>
      </c>
    </row>
    <row r="454" ht="22.5" customHeight="1">
      <c r="A454" s="59">
        <v>2.0</v>
      </c>
      <c r="B454" s="60">
        <v>46034.0</v>
      </c>
      <c r="C454" s="60">
        <v>46035.0</v>
      </c>
      <c r="D454" s="61" t="s">
        <v>349</v>
      </c>
      <c r="E454" s="62">
        <v>-9.6</v>
      </c>
      <c r="F454" s="63" t="s">
        <v>43</v>
      </c>
    </row>
    <row r="455" ht="22.5" customHeight="1">
      <c r="A455" s="59">
        <v>2.0</v>
      </c>
      <c r="B455" s="60">
        <v>46034.0</v>
      </c>
      <c r="C455" s="60">
        <v>46035.0</v>
      </c>
      <c r="D455" s="61" t="s">
        <v>350</v>
      </c>
      <c r="E455" s="62">
        <v>-84.0</v>
      </c>
      <c r="F455" s="63" t="s">
        <v>142</v>
      </c>
    </row>
    <row r="456" ht="22.5" customHeight="1">
      <c r="A456" s="59">
        <v>2.0</v>
      </c>
      <c r="B456" s="60">
        <v>46034.0</v>
      </c>
      <c r="C456" s="60">
        <v>46032.0</v>
      </c>
      <c r="D456" s="61" t="s">
        <v>351</v>
      </c>
      <c r="E456" s="62">
        <v>100.0</v>
      </c>
      <c r="F456" s="63" t="s">
        <v>86</v>
      </c>
    </row>
    <row r="457" ht="22.5" customHeight="1">
      <c r="A457" s="59">
        <v>2.0</v>
      </c>
      <c r="B457" s="60">
        <v>46034.0</v>
      </c>
      <c r="C457" s="60">
        <v>46035.0</v>
      </c>
      <c r="D457" s="61" t="s">
        <v>352</v>
      </c>
      <c r="E457" s="62">
        <v>-2.2</v>
      </c>
      <c r="F457" s="63" t="s">
        <v>70</v>
      </c>
    </row>
    <row r="458" ht="22.5" customHeight="1">
      <c r="A458" s="59">
        <v>2.0</v>
      </c>
      <c r="B458" s="60">
        <v>46034.0</v>
      </c>
      <c r="C458" s="60">
        <v>46032.0</v>
      </c>
      <c r="D458" s="61" t="s">
        <v>353</v>
      </c>
      <c r="E458" s="62">
        <v>48.0</v>
      </c>
      <c r="F458" s="63" t="s">
        <v>86</v>
      </c>
    </row>
    <row r="459" ht="22.5" customHeight="1">
      <c r="A459" s="59">
        <v>2.0</v>
      </c>
      <c r="B459" s="60">
        <v>46031.0</v>
      </c>
      <c r="C459" s="60">
        <v>46031.0</v>
      </c>
      <c r="D459" s="61" t="s">
        <v>354</v>
      </c>
      <c r="E459" s="62">
        <v>-61.0</v>
      </c>
      <c r="F459" s="63" t="s">
        <v>142</v>
      </c>
    </row>
    <row r="460" ht="22.5" customHeight="1">
      <c r="A460" s="59">
        <v>2.0</v>
      </c>
      <c r="B460" s="60">
        <v>46031.0</v>
      </c>
      <c r="C460" s="60">
        <v>46034.0</v>
      </c>
      <c r="D460" s="61" t="s">
        <v>355</v>
      </c>
      <c r="E460" s="62">
        <v>-9.0</v>
      </c>
      <c r="F460" s="63" t="s">
        <v>93</v>
      </c>
    </row>
    <row r="461" ht="22.5" customHeight="1">
      <c r="A461" s="59">
        <v>2.0</v>
      </c>
      <c r="B461" s="60">
        <v>46031.0</v>
      </c>
      <c r="C461" s="60">
        <v>46031.0</v>
      </c>
      <c r="D461" s="61" t="s">
        <v>356</v>
      </c>
      <c r="E461" s="62">
        <v>9.0</v>
      </c>
      <c r="F461" s="63" t="s">
        <v>86</v>
      </c>
    </row>
    <row r="462" ht="22.5" customHeight="1">
      <c r="A462" s="59">
        <v>2.0</v>
      </c>
      <c r="B462" s="60">
        <v>46031.0</v>
      </c>
      <c r="C462" s="60">
        <v>46034.0</v>
      </c>
      <c r="D462" s="61" t="s">
        <v>263</v>
      </c>
      <c r="E462" s="62">
        <v>-6.55</v>
      </c>
      <c r="F462" s="63" t="s">
        <v>40</v>
      </c>
    </row>
    <row r="463" ht="22.5" customHeight="1">
      <c r="A463" s="59">
        <v>2.0</v>
      </c>
      <c r="B463" s="60">
        <v>46030.0</v>
      </c>
      <c r="C463" s="60">
        <v>46033.0</v>
      </c>
      <c r="D463" s="61" t="s">
        <v>357</v>
      </c>
      <c r="E463" s="62">
        <v>-34.06</v>
      </c>
      <c r="F463" s="63" t="s">
        <v>116</v>
      </c>
    </row>
    <row r="464" ht="22.5" customHeight="1">
      <c r="A464" s="59">
        <v>2.0</v>
      </c>
      <c r="B464" s="60">
        <v>46030.0</v>
      </c>
      <c r="C464" s="60">
        <v>46033.0</v>
      </c>
      <c r="D464" s="61" t="s">
        <v>358</v>
      </c>
      <c r="E464" s="62">
        <v>-22.53</v>
      </c>
      <c r="F464" s="63" t="s">
        <v>38</v>
      </c>
    </row>
    <row r="465" ht="22.5" customHeight="1">
      <c r="A465" s="59">
        <v>2.0</v>
      </c>
      <c r="B465" s="60">
        <v>46030.0</v>
      </c>
      <c r="C465" s="60">
        <v>46030.0</v>
      </c>
      <c r="D465" s="61" t="s">
        <v>227</v>
      </c>
      <c r="E465" s="62">
        <v>-20.0</v>
      </c>
      <c r="F465" s="63" t="s">
        <v>88</v>
      </c>
    </row>
    <row r="466" ht="22.5" customHeight="1">
      <c r="A466" s="59">
        <v>2.0</v>
      </c>
      <c r="B466" s="60">
        <v>46030.0</v>
      </c>
      <c r="C466" s="60">
        <v>46029.0</v>
      </c>
      <c r="D466" s="61" t="s">
        <v>359</v>
      </c>
      <c r="E466" s="62">
        <v>-4.5</v>
      </c>
      <c r="F466" s="63" t="s">
        <v>86</v>
      </c>
    </row>
    <row r="467" ht="22.5" customHeight="1">
      <c r="A467" s="59">
        <v>1.0</v>
      </c>
      <c r="B467" s="60">
        <v>46029.0</v>
      </c>
      <c r="C467" s="60">
        <v>46032.0</v>
      </c>
      <c r="D467" s="61" t="s">
        <v>360</v>
      </c>
      <c r="E467" s="62">
        <v>-1.29</v>
      </c>
      <c r="F467" s="63" t="s">
        <v>93</v>
      </c>
    </row>
    <row r="468" ht="22.5" customHeight="1">
      <c r="A468" s="59">
        <v>1.0</v>
      </c>
      <c r="B468" s="60">
        <v>46029.0</v>
      </c>
      <c r="C468" s="60">
        <v>46032.0</v>
      </c>
      <c r="D468" s="61" t="s">
        <v>318</v>
      </c>
      <c r="E468" s="62">
        <v>-3.4</v>
      </c>
      <c r="F468" s="63" t="s">
        <v>43</v>
      </c>
    </row>
    <row r="469" ht="22.5" customHeight="1">
      <c r="A469" s="59">
        <v>1.0</v>
      </c>
      <c r="B469" s="60">
        <v>46029.0</v>
      </c>
      <c r="C469" s="60">
        <v>46029.0</v>
      </c>
      <c r="D469" s="61" t="s">
        <v>361</v>
      </c>
      <c r="E469" s="62">
        <v>-120.0</v>
      </c>
      <c r="F469" s="63" t="s">
        <v>166</v>
      </c>
    </row>
    <row r="470" ht="22.5" customHeight="1">
      <c r="A470" s="59">
        <v>1.0</v>
      </c>
      <c r="B470" s="60">
        <v>46029.0</v>
      </c>
      <c r="C470" s="60">
        <v>46032.0</v>
      </c>
      <c r="D470" s="61" t="s">
        <v>362</v>
      </c>
      <c r="E470" s="62">
        <v>-22.76</v>
      </c>
      <c r="F470" s="63" t="s">
        <v>56</v>
      </c>
    </row>
    <row r="471" ht="22.5" customHeight="1">
      <c r="A471" s="59">
        <v>1.0</v>
      </c>
      <c r="B471" s="60">
        <v>46029.0</v>
      </c>
      <c r="C471" s="60">
        <v>46032.0</v>
      </c>
      <c r="D471" s="61" t="s">
        <v>244</v>
      </c>
      <c r="E471" s="62">
        <v>-117.31</v>
      </c>
      <c r="F471" s="63" t="s">
        <v>38</v>
      </c>
    </row>
    <row r="472" ht="22.5" customHeight="1">
      <c r="A472" s="59">
        <v>1.0</v>
      </c>
      <c r="B472" s="60">
        <v>46029.0</v>
      </c>
      <c r="C472" s="60">
        <v>46031.0</v>
      </c>
      <c r="D472" s="61" t="s">
        <v>228</v>
      </c>
      <c r="E472" s="62">
        <v>-47.41</v>
      </c>
      <c r="F472" s="63" t="s">
        <v>49</v>
      </c>
    </row>
    <row r="473" ht="22.5" customHeight="1">
      <c r="A473" s="59">
        <v>1.0</v>
      </c>
      <c r="B473" s="60">
        <v>46027.0</v>
      </c>
      <c r="C473" s="60">
        <v>46027.0</v>
      </c>
      <c r="D473" s="61" t="s">
        <v>363</v>
      </c>
      <c r="E473" s="62">
        <v>-67.5</v>
      </c>
      <c r="F473" s="63" t="s">
        <v>86</v>
      </c>
    </row>
    <row r="474" ht="22.5" customHeight="1">
      <c r="A474" s="59">
        <v>1.0</v>
      </c>
      <c r="B474" s="60">
        <v>46027.0</v>
      </c>
      <c r="C474" s="60">
        <v>46027.0</v>
      </c>
      <c r="D474" s="61" t="s">
        <v>364</v>
      </c>
      <c r="E474" s="62">
        <v>100.0</v>
      </c>
      <c r="F474" s="63" t="s">
        <v>311</v>
      </c>
    </row>
    <row r="475" ht="22.5" customHeight="1">
      <c r="A475" s="59">
        <v>1.0</v>
      </c>
      <c r="B475" s="60">
        <v>46027.0</v>
      </c>
      <c r="C475" s="60">
        <v>46029.0</v>
      </c>
      <c r="D475" s="61" t="s">
        <v>365</v>
      </c>
      <c r="E475" s="62">
        <v>-26.7</v>
      </c>
      <c r="F475" s="63" t="s">
        <v>54</v>
      </c>
    </row>
    <row r="476" ht="22.5" customHeight="1">
      <c r="A476" s="59">
        <v>1.0</v>
      </c>
      <c r="B476" s="60">
        <v>46027.0</v>
      </c>
      <c r="C476" s="60">
        <v>46029.0</v>
      </c>
      <c r="D476" s="61" t="s">
        <v>366</v>
      </c>
      <c r="E476" s="62">
        <v>-16.95</v>
      </c>
      <c r="F476" s="63" t="s">
        <v>54</v>
      </c>
    </row>
    <row r="477" ht="22.5" customHeight="1">
      <c r="A477" s="59">
        <v>1.0</v>
      </c>
      <c r="B477" s="60">
        <v>46027.0</v>
      </c>
      <c r="C477" s="60">
        <v>46029.0</v>
      </c>
      <c r="D477" s="61" t="s">
        <v>367</v>
      </c>
      <c r="E477" s="62">
        <v>-50.33</v>
      </c>
      <c r="F477" s="63" t="s">
        <v>54</v>
      </c>
    </row>
    <row r="478" ht="22.5" customHeight="1">
      <c r="A478" s="59">
        <v>1.0</v>
      </c>
      <c r="B478" s="60">
        <v>46027.0</v>
      </c>
      <c r="C478" s="60">
        <v>46029.0</v>
      </c>
      <c r="D478" s="61" t="s">
        <v>368</v>
      </c>
      <c r="E478" s="62">
        <v>-4.13</v>
      </c>
      <c r="F478" s="63" t="s">
        <v>54</v>
      </c>
    </row>
    <row r="479" ht="22.5" customHeight="1">
      <c r="A479" s="59">
        <v>1.0</v>
      </c>
      <c r="B479" s="60">
        <v>46027.0</v>
      </c>
      <c r="C479" s="60">
        <v>46028.0</v>
      </c>
      <c r="D479" s="61" t="s">
        <v>369</v>
      </c>
      <c r="E479" s="62">
        <v>-0.79</v>
      </c>
      <c r="F479" s="63" t="s">
        <v>54</v>
      </c>
    </row>
    <row r="480" ht="22.5" customHeight="1">
      <c r="A480" s="59">
        <v>1.0</v>
      </c>
      <c r="B480" s="60">
        <v>46027.0</v>
      </c>
      <c r="C480" s="60">
        <v>46028.0</v>
      </c>
      <c r="D480" s="61" t="s">
        <v>370</v>
      </c>
      <c r="E480" s="62">
        <v>-1.4</v>
      </c>
      <c r="F480" s="63" t="s">
        <v>54</v>
      </c>
    </row>
    <row r="481" ht="22.5" customHeight="1">
      <c r="A481" s="59">
        <v>1.0</v>
      </c>
      <c r="B481" s="60">
        <v>46027.0</v>
      </c>
      <c r="C481" s="60">
        <v>46028.0</v>
      </c>
      <c r="D481" s="61" t="s">
        <v>371</v>
      </c>
      <c r="E481" s="62">
        <v>-78.17</v>
      </c>
      <c r="F481" s="63" t="s">
        <v>54</v>
      </c>
    </row>
    <row r="482" ht="22.5" customHeight="1">
      <c r="A482" s="59">
        <v>1.0</v>
      </c>
      <c r="B482" s="60">
        <v>46027.0</v>
      </c>
      <c r="C482" s="60">
        <v>46028.0</v>
      </c>
      <c r="D482" s="61" t="s">
        <v>372</v>
      </c>
      <c r="E482" s="62">
        <v>-23.9</v>
      </c>
      <c r="F482" s="63" t="s">
        <v>54</v>
      </c>
    </row>
    <row r="483" ht="22.5" customHeight="1">
      <c r="A483" s="59">
        <v>1.0</v>
      </c>
      <c r="B483" s="60">
        <v>46024.0</v>
      </c>
      <c r="C483" s="60">
        <v>46027.0</v>
      </c>
      <c r="D483" s="61" t="s">
        <v>367</v>
      </c>
      <c r="E483" s="62">
        <v>-73.11</v>
      </c>
      <c r="F483" s="63" t="s">
        <v>54</v>
      </c>
    </row>
    <row r="484" ht="22.5" customHeight="1">
      <c r="A484" s="59">
        <v>1.0</v>
      </c>
      <c r="B484" s="60">
        <v>46024.0</v>
      </c>
      <c r="C484" s="60">
        <v>46027.0</v>
      </c>
      <c r="D484" s="61" t="s">
        <v>373</v>
      </c>
      <c r="E484" s="62">
        <v>-21.68</v>
      </c>
      <c r="F484" s="63" t="s">
        <v>54</v>
      </c>
    </row>
    <row r="485" ht="22.5" customHeight="1">
      <c r="A485" s="59">
        <v>1.0</v>
      </c>
      <c r="B485" s="60">
        <v>46024.0</v>
      </c>
      <c r="C485" s="60">
        <v>46024.0</v>
      </c>
      <c r="D485" s="61" t="s">
        <v>374</v>
      </c>
      <c r="E485" s="62">
        <v>-100.0</v>
      </c>
      <c r="F485" s="63" t="s">
        <v>311</v>
      </c>
    </row>
    <row r="486" ht="22.5" customHeight="1">
      <c r="A486" s="59">
        <v>1.0</v>
      </c>
      <c r="B486" s="60">
        <v>46024.0</v>
      </c>
      <c r="C486" s="60">
        <v>46024.0</v>
      </c>
      <c r="D486" s="61" t="s">
        <v>375</v>
      </c>
      <c r="E486" s="62">
        <v>-116.43</v>
      </c>
      <c r="F486" s="63" t="s">
        <v>376</v>
      </c>
    </row>
    <row r="487" ht="22.5" customHeight="1">
      <c r="A487" s="59">
        <v>1.0</v>
      </c>
      <c r="B487" s="60">
        <v>46024.0</v>
      </c>
      <c r="C487" s="60">
        <v>46026.0</v>
      </c>
      <c r="D487" s="61" t="s">
        <v>365</v>
      </c>
      <c r="E487" s="62">
        <v>-27.3</v>
      </c>
      <c r="F487" s="63" t="s">
        <v>54</v>
      </c>
    </row>
    <row r="488" ht="22.5" customHeight="1">
      <c r="A488" s="59">
        <v>1.0</v>
      </c>
      <c r="B488" s="60">
        <v>46024.0</v>
      </c>
      <c r="C488" s="60">
        <v>46026.0</v>
      </c>
      <c r="D488" s="61" t="s">
        <v>377</v>
      </c>
      <c r="E488" s="62">
        <v>-2.3</v>
      </c>
      <c r="F488" s="63" t="s">
        <v>54</v>
      </c>
    </row>
    <row r="489" ht="22.5" customHeight="1">
      <c r="A489" s="59">
        <v>1.0</v>
      </c>
      <c r="B489" s="60">
        <v>46024.0</v>
      </c>
      <c r="C489" s="60">
        <v>46026.0</v>
      </c>
      <c r="D489" s="61" t="s">
        <v>378</v>
      </c>
      <c r="E489" s="62">
        <v>-12.05</v>
      </c>
      <c r="F489" s="63" t="s">
        <v>54</v>
      </c>
    </row>
    <row r="490" ht="22.5" customHeight="1">
      <c r="A490" s="59">
        <v>1.0</v>
      </c>
      <c r="B490" s="60">
        <v>46024.0</v>
      </c>
      <c r="C490" s="60">
        <v>46026.0</v>
      </c>
      <c r="D490" s="61" t="s">
        <v>379</v>
      </c>
      <c r="E490" s="62">
        <v>-47.02</v>
      </c>
      <c r="F490" s="63" t="s">
        <v>54</v>
      </c>
    </row>
    <row r="491" ht="22.5" customHeight="1">
      <c r="A491" s="59">
        <v>1.0</v>
      </c>
      <c r="B491" s="60">
        <v>46024.0</v>
      </c>
      <c r="C491" s="60">
        <v>46024.0</v>
      </c>
      <c r="D491" s="61" t="s">
        <v>380</v>
      </c>
      <c r="E491" s="62">
        <v>-612.5</v>
      </c>
      <c r="F491" s="63" t="s">
        <v>54</v>
      </c>
    </row>
    <row r="492" ht="22.5" customHeight="1">
      <c r="A492" s="59">
        <v>1.0</v>
      </c>
      <c r="B492" s="60">
        <v>46024.0</v>
      </c>
      <c r="C492" s="60">
        <v>46026.0</v>
      </c>
      <c r="D492" s="61" t="s">
        <v>381</v>
      </c>
      <c r="E492" s="62">
        <v>-19.99</v>
      </c>
      <c r="F492" s="63" t="s">
        <v>43</v>
      </c>
    </row>
  </sheetData>
  <dataValidations>
    <dataValidation type="custom" allowBlank="1" showDropDown="1" sqref="B3:C492">
      <formula1>OR(NOT(ISERROR(DATEVALUE(B3))), AND(ISNUMBER(B3), LEFT(CELL("format", B3))="D"))</formula1>
    </dataValidation>
    <dataValidation type="custom" allowBlank="1" showDropDown="1" sqref="A3:A492 E3:E492">
      <formula1>AND(ISNUMBER(A3),(NOT(OR(NOT(ISERROR(DATEVALUE(A3))), AND(ISNUMBER(A3), LEFT(CELL("format", A3))="D")))))</formula1>
    </dataValidation>
  </dataValidations>
  <hyperlinks>
    <hyperlink r:id="rId1" ref="D68"/>
    <hyperlink r:id="rId2" ref="D69"/>
    <hyperlink r:id="rId3" ref="D102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3.13"/>
  </cols>
  <sheetData>
    <row r="2">
      <c r="D2" s="70" t="s">
        <v>383</v>
      </c>
    </row>
    <row r="3">
      <c r="D3" s="71">
        <f t="shared" ref="D3:D44" si="1">C3/4</f>
        <v>-66.25</v>
      </c>
    </row>
    <row r="4">
      <c r="D4" s="71">
        <f t="shared" si="1"/>
        <v>-13.845</v>
      </c>
    </row>
    <row r="5">
      <c r="D5" s="71">
        <f t="shared" si="1"/>
        <v>-121.1475</v>
      </c>
    </row>
    <row r="6">
      <c r="D6" s="71">
        <f t="shared" si="1"/>
        <v>162</v>
      </c>
    </row>
    <row r="7">
      <c r="D7" s="71">
        <f t="shared" si="1"/>
        <v>117.6075</v>
      </c>
    </row>
    <row r="8">
      <c r="D8" s="71">
        <f t="shared" si="1"/>
        <v>-198.26</v>
      </c>
    </row>
    <row r="9">
      <c r="D9" s="71">
        <f t="shared" si="1"/>
        <v>-29.1075</v>
      </c>
    </row>
    <row r="10">
      <c r="D10" s="71">
        <f t="shared" si="1"/>
        <v>-262.8175</v>
      </c>
    </row>
    <row r="11">
      <c r="D11" s="71">
        <f t="shared" si="1"/>
        <v>-183.7875</v>
      </c>
    </row>
    <row r="12">
      <c r="D12" s="71">
        <f t="shared" si="1"/>
        <v>-174.7725</v>
      </c>
    </row>
    <row r="13">
      <c r="D13" s="71">
        <f t="shared" si="1"/>
        <v>-8.8</v>
      </c>
    </row>
    <row r="14">
      <c r="D14" s="71">
        <f t="shared" si="1"/>
        <v>-97.1825</v>
      </c>
    </row>
    <row r="15">
      <c r="D15" s="71">
        <f t="shared" si="1"/>
        <v>-5</v>
      </c>
    </row>
    <row r="16">
      <c r="D16" s="71">
        <f t="shared" si="1"/>
        <v>-22.5</v>
      </c>
    </row>
    <row r="17">
      <c r="D17" s="71">
        <f t="shared" si="1"/>
        <v>-21.77</v>
      </c>
    </row>
    <row r="18">
      <c r="D18" s="71">
        <f t="shared" si="1"/>
        <v>-36.355</v>
      </c>
    </row>
    <row r="19">
      <c r="D19" s="71">
        <f t="shared" si="1"/>
        <v>-138.655</v>
      </c>
    </row>
    <row r="20">
      <c r="D20" s="71">
        <f t="shared" si="1"/>
        <v>-7.5</v>
      </c>
    </row>
    <row r="21">
      <c r="D21" s="71">
        <f t="shared" si="1"/>
        <v>-73.75</v>
      </c>
    </row>
    <row r="22">
      <c r="D22" s="71">
        <f t="shared" si="1"/>
        <v>-396.08</v>
      </c>
    </row>
    <row r="23">
      <c r="D23" s="71">
        <f t="shared" si="1"/>
        <v>229.425</v>
      </c>
    </row>
    <row r="24">
      <c r="D24" s="71">
        <f t="shared" si="1"/>
        <v>75</v>
      </c>
    </row>
    <row r="25">
      <c r="D25" s="71">
        <f t="shared" si="1"/>
        <v>-52.8625</v>
      </c>
    </row>
    <row r="26">
      <c r="D26" s="71">
        <f t="shared" si="1"/>
        <v>-72.57</v>
      </c>
    </row>
    <row r="27">
      <c r="D27" s="71">
        <f t="shared" si="1"/>
        <v>-11.25</v>
      </c>
    </row>
    <row r="28">
      <c r="D28" s="71">
        <f t="shared" si="1"/>
        <v>-32.995</v>
      </c>
    </row>
    <row r="29">
      <c r="D29" s="71">
        <f t="shared" si="1"/>
        <v>-33.275</v>
      </c>
    </row>
    <row r="30">
      <c r="D30" s="71">
        <f t="shared" si="1"/>
        <v>2028.3675</v>
      </c>
    </row>
    <row r="31">
      <c r="D31" s="71">
        <f t="shared" si="1"/>
        <v>-41.35</v>
      </c>
    </row>
    <row r="32">
      <c r="D32" s="71">
        <f t="shared" si="1"/>
        <v>-9.7875</v>
      </c>
    </row>
    <row r="33">
      <c r="D33" s="71">
        <f t="shared" si="1"/>
        <v>-16.25</v>
      </c>
    </row>
    <row r="34">
      <c r="D34" s="71">
        <f t="shared" si="1"/>
        <v>-87</v>
      </c>
    </row>
    <row r="35">
      <c r="D35" s="71">
        <f t="shared" si="1"/>
        <v>-850</v>
      </c>
    </row>
    <row r="36">
      <c r="D36" s="71">
        <f t="shared" si="1"/>
        <v>-91.7125</v>
      </c>
    </row>
    <row r="37">
      <c r="D37" s="71">
        <f t="shared" si="1"/>
        <v>-50.54</v>
      </c>
    </row>
    <row r="38">
      <c r="D38" s="71">
        <f t="shared" si="1"/>
        <v>-27.875</v>
      </c>
    </row>
    <row r="39">
      <c r="D39" s="71">
        <f t="shared" si="1"/>
        <v>-91.935</v>
      </c>
    </row>
    <row r="40">
      <c r="D40" s="71">
        <f t="shared" si="1"/>
        <v>-437.9875</v>
      </c>
    </row>
    <row r="41">
      <c r="D41" s="71">
        <f t="shared" si="1"/>
        <v>-16.4</v>
      </c>
    </row>
    <row r="42">
      <c r="D42" s="71">
        <f t="shared" si="1"/>
        <v>-487.45</v>
      </c>
    </row>
    <row r="43">
      <c r="D43" s="71">
        <f t="shared" si="1"/>
        <v>212.2025</v>
      </c>
    </row>
    <row r="44">
      <c r="D44" s="71">
        <f t="shared" si="1"/>
        <v>-1444.2175</v>
      </c>
    </row>
  </sheetData>
  <autoFilter ref="$B$2:$C$43"/>
  <drawing r:id="rId3"/>
</worksheet>
</file>